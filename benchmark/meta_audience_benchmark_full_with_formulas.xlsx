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286818d1c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CSV Data" sheetId="1" r:id="R5517b8c795b94890"/>
    <x:sheet xmlns:r="http://schemas.openxmlformats.org/officeDocument/2006/relationships" name="Raw Estimates" sheetId="2" r:id="R73800ac7bd564824"/>
    <x:sheet xmlns:r="http://schemas.openxmlformats.org/officeDocument/2006/relationships" name="Summary" sheetId="3" r:id="Rb19543ed77f8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1b6182ff748a7" /><Relationship Type="http://schemas.openxmlformats.org/officeDocument/2006/relationships/theme" Target="/xl/theme/theme1.xml" Id="R117af988a8ef46b2" /><Relationship Type="http://schemas.openxmlformats.org/officeDocument/2006/relationships/sharedStrings" Target="/xl/sharedStrings.xml" Id="Rbe732eb014834b34" /><Relationship Type="http://schemas.openxmlformats.org/officeDocument/2006/relationships/worksheet" Target="/xl/worksheets/sheet1.xml" Id="R5517b8c795b94890" /><Relationship Type="http://schemas.openxmlformats.org/officeDocument/2006/relationships/worksheet" Target="/xl/worksheets/sheet2.xml" Id="R73800ac7bd564824" /><Relationship Type="http://schemas.openxmlformats.org/officeDocument/2006/relationships/worksheet" Target="/xl/worksheets/sheet3.xml" Id="Rb19543ed77f842b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15.630000114440918" hidden="0" customWidth="1"/>
    <x:col min="3" max="3" width="5.880000114440918" hidden="0" customWidth="1"/>
    <x:col min="4" max="4" width="8" hidden="0" customWidth="1"/>
    <x:col min="5" max="5" width="7.130000114440918" hidden="0" customWidth="1"/>
    <x:col min="6" max="6" width="7.380000114440918" hidden="0" customWidth="1"/>
    <x:col min="7" max="7" width="22.6299991607666" hidden="0" customWidth="1"/>
    <x:col min="8" max="8" width="22.75" hidden="0" customWidth="1"/>
    <x:col min="9" max="9" width="19.3799991607666" hidden="0" customWidth="1"/>
    <x:col min="10" max="10" width="9.380000114440918" hidden="0" customWidth="1"/>
    <x:col min="11" max="11" width="13.130000114440918" hidden="0" customWidth="1"/>
    <x:col min="12" max="12" width="18" hidden="0" customWidth="1"/>
    <x:col min="13" max="13" width="28" hidden="0" customWidth="1"/>
  </x:cols>
  <x:sheetData>
    <x:row r="1">
      <x:c r="A1" s="4" t="str">
        <x:v>country</x:v>
      </x:c>
      <x:c r="B1" s="4" t="str">
        <x:v>platform_scope</x:v>
      </x:c>
      <x:c r="C1" s="4" t="str">
        <x:v>gender</x:v>
      </x:c>
      <x:c r="D1" s="4" t="str">
        <x:v>age_band</x:v>
      </x:c>
      <x:c r="E1" s="4" t="str">
        <x:v>age_min</x:v>
      </x:c>
      <x:c r="F1" s="4" t="str">
        <x:v>age_max</x:v>
      </x:c>
      <x:c r="G1" s="4" t="str">
        <x:v>estimate_mau_lower_bound</x:v>
      </x:c>
      <x:c r="H1" s="4" t="str">
        <x:v>estimate_mau_upper_bound</x:v>
      </x:c>
      <x:c r="I1" s="4" t="str">
        <x:v>estimate_mau_midpoint</x:v>
      </x:c>
      <x:c r="J1" s="4" t="str">
        <x:v>api_version</x:v>
      </x:c>
      <x:c r="K1" s="4" t="str">
        <x:v>collected_at_utc</x:v>
      </x:c>
      <x:c r="L1" s="4"/>
      <x:c r="M1" s="4"/>
    </x:row>
    <x:row r="2">
      <x:c r="A2" t="str">
        <x:v>DE</x:v>
      </x:c>
      <x:c r="B2" t="str">
        <x:v>facebook_instagram</x:v>
      </x:c>
      <x:c r="C2" t="str">
        <x:v>all</x:v>
      </x:c>
      <x:c r="D2" t="str">
        <x:v>18-65+</x:v>
      </x:c>
      <x:c r="E2" t="str">
        <x:v>18</x:v>
      </x:c>
      <x:c r="F2" t="str">
        <x:v>65</x:v>
      </x:c>
      <x:c r="G2" t="str">
        <x:v>36800000</x:v>
      </x:c>
      <x:c r="H2" s="14" t="str">
        <x:v>43300000</x:v>
      </x:c>
      <x:c r="I2" s="14" t="str">
        <x:v>40050000</x:v>
      </x:c>
      <x:c r="J2" s="14" t="str">
        <x:v>v25.0</x:v>
      </x:c>
      <x:c r="K2" t="n">
        <x:v>46262.618557037036</x:v>
      </x:c>
      <x:c r="L2"/>
      <x:c r="M2"/>
    </x:row>
    <x:row r="3">
      <x:c r="A3" t="str">
        <x:v>DE</x:v>
      </x:c>
      <x:c r="B3" t="str">
        <x:v>facebook_instagram</x:v>
      </x:c>
      <x:c r="C3" t="str">
        <x:v>male</x:v>
      </x:c>
      <x:c r="D3" t="str">
        <x:v>18-65+</x:v>
      </x:c>
      <x:c r="E3" t="str">
        <x:v>18</x:v>
      </x:c>
      <x:c r="F3" t="str">
        <x:v>65</x:v>
      </x:c>
      <x:c r="G3" t="str">
        <x:v>17700000</x:v>
      </x:c>
      <x:c r="H3" s="14" t="str">
        <x:v>20800000</x:v>
      </x:c>
      <x:c r="I3" s="14" t="str">
        <x:v>19250000</x:v>
      </x:c>
      <x:c r="J3" s="14" t="str">
        <x:v>v25.0</x:v>
      </x:c>
      <x:c r="K3" t="n">
        <x:v>46262.6185759838</x:v>
      </x:c>
      <x:c r="L3"/>
      <x:c r="M3"/>
    </x:row>
    <x:row r="4">
      <x:c r="A4" t="str">
        <x:v>DE</x:v>
      </x:c>
      <x:c r="B4" t="str">
        <x:v>facebook_instagram</x:v>
      </x:c>
      <x:c r="C4" t="str">
        <x:v>female</x:v>
      </x:c>
      <x:c r="D4" t="str">
        <x:v>18-65+</x:v>
      </x:c>
      <x:c r="E4" t="str">
        <x:v>18</x:v>
      </x:c>
      <x:c r="F4" t="str">
        <x:v>65</x:v>
      </x:c>
      <x:c r="G4" t="str">
        <x:v>18600000</x:v>
      </x:c>
      <x:c r="H4" s="14" t="str">
        <x:v>21800000</x:v>
      </x:c>
      <x:c r="I4" s="14" t="str">
        <x:v>20200000</x:v>
      </x:c>
      <x:c r="J4" s="14" t="str">
        <x:v>v25.0</x:v>
      </x:c>
      <x:c r="K4" t="n">
        <x:v>46262.61859097222</x:v>
      </x:c>
      <x:c r="L4"/>
      <x:c r="M4"/>
    </x:row>
    <x:row r="5">
      <x:c r="A5" t="str">
        <x:v>DE</x:v>
      </x:c>
      <x:c r="B5" t="str">
        <x:v>facebook_instagram</x:v>
      </x:c>
      <x:c r="C5" t="str">
        <x:v>all</x:v>
      </x:c>
      <x:c r="D5" t="str">
        <x:v>18-24</x:v>
      </x:c>
      <x:c r="E5" t="str">
        <x:v>18</x:v>
      </x:c>
      <x:c r="F5" t="str">
        <x:v>24</x:v>
      </x:c>
      <x:c r="G5" t="str">
        <x:v>5300000</x:v>
      </x:c>
      <x:c r="H5" s="14" t="str">
        <x:v>6200000</x:v>
      </x:c>
      <x:c r="I5" s="14" t="str">
        <x:v>5750000</x:v>
      </x:c>
      <x:c r="J5" s="14" t="str">
        <x:v>v25.0</x:v>
      </x:c>
      <x:c r="K5" t="n">
        <x:v>46262.61861511574</x:v>
      </x:c>
      <x:c r="L5"/>
      <x:c r="M5"/>
    </x:row>
    <x:row r="6">
      <x:c r="A6" t="str">
        <x:v>DE</x:v>
      </x:c>
      <x:c r="B6" t="str">
        <x:v>facebook_instagram</x:v>
      </x:c>
      <x:c r="C6" t="str">
        <x:v>male</x:v>
      </x:c>
      <x:c r="D6" t="str">
        <x:v>18-24</x:v>
      </x:c>
      <x:c r="E6" t="str">
        <x:v>18</x:v>
      </x:c>
      <x:c r="F6" t="str">
        <x:v>24</x:v>
      </x:c>
      <x:c r="G6" t="str">
        <x:v>2500000</x:v>
      </x:c>
      <x:c r="H6" s="14" t="str">
        <x:v>2900000</x:v>
      </x:c>
      <x:c r="I6" s="14" t="str">
        <x:v>2700000</x:v>
      </x:c>
      <x:c r="J6" s="14" t="str">
        <x:v>v25.0</x:v>
      </x:c>
      <x:c r="K6" t="n">
        <x:v>46262.618634074075</x:v>
      </x:c>
      <x:c r="L6"/>
      <x:c r="M6"/>
    </x:row>
    <x:row r="7">
      <x:c r="A7" t="str">
        <x:v>DE</x:v>
      </x:c>
      <x:c r="B7" t="str">
        <x:v>facebook_instagram</x:v>
      </x:c>
      <x:c r="C7" t="str">
        <x:v>female</x:v>
      </x:c>
      <x:c r="D7" t="str">
        <x:v>18-24</x:v>
      </x:c>
      <x:c r="E7" t="str">
        <x:v>18</x:v>
      </x:c>
      <x:c r="F7" t="str">
        <x:v>24</x:v>
      </x:c>
      <x:c r="G7" t="str">
        <x:v>2700000</x:v>
      </x:c>
      <x:c r="H7" s="14" t="str">
        <x:v>3100000</x:v>
      </x:c>
      <x:c r="I7" s="14" t="str">
        <x:v>2900000</x:v>
      </x:c>
      <x:c r="J7" s="14" t="str">
        <x:v>v25.0</x:v>
      </x:c>
      <x:c r="K7" t="n">
        <x:v>46262.61865185185</x:v>
      </x:c>
      <x:c r="L7"/>
      <x:c r="M7"/>
    </x:row>
    <x:row r="8">
      <x:c r="A8" t="str">
        <x:v>DE</x:v>
      </x:c>
      <x:c r="B8" t="str">
        <x:v>facebook_instagram</x:v>
      </x:c>
      <x:c r="C8" t="str">
        <x:v>all</x:v>
      </x:c>
      <x:c r="D8" t="str">
        <x:v>25-34</x:v>
      </x:c>
      <x:c r="E8" t="str">
        <x:v>25</x:v>
      </x:c>
      <x:c r="F8" t="str">
        <x:v>34</x:v>
      </x:c>
      <x:c r="G8" t="str">
        <x:v>10200000</x:v>
      </x:c>
      <x:c r="H8" s="14" t="str">
        <x:v>12000000</x:v>
      </x:c>
      <x:c r="I8" s="14" t="str">
        <x:v>11100000</x:v>
      </x:c>
      <x:c r="J8" s="14" t="str">
        <x:v>v25.0</x:v>
      </x:c>
      <x:c r="K8" t="n">
        <x:v>46262.61866961805</x:v>
      </x:c>
      <x:c r="L8"/>
      <x:c r="M8"/>
    </x:row>
    <x:row r="9">
      <x:c r="A9" t="str">
        <x:v>DE</x:v>
      </x:c>
      <x:c r="B9" t="str">
        <x:v>facebook_instagram</x:v>
      </x:c>
      <x:c r="C9" t="str">
        <x:v>male</x:v>
      </x:c>
      <x:c r="D9" t="str">
        <x:v>25-34</x:v>
      </x:c>
      <x:c r="E9" t="str">
        <x:v>25</x:v>
      </x:c>
      <x:c r="F9" t="str">
        <x:v>34</x:v>
      </x:c>
      <x:c r="G9" t="str">
        <x:v>5200000</x:v>
      </x:c>
      <x:c r="H9" s="14" t="str">
        <x:v>6100000</x:v>
      </x:c>
      <x:c r="I9" s="14" t="str">
        <x:v>5650000</x:v>
      </x:c>
      <x:c r="J9" s="14" t="str">
        <x:v>v25.0</x:v>
      </x:c>
      <x:c r="K9" t="n">
        <x:v>46262.61868503472</x:v>
      </x:c>
      <x:c r="L9"/>
      <x:c r="M9"/>
    </x:row>
    <x:row r="10">
      <x:c r="A10" t="str">
        <x:v>DE</x:v>
      </x:c>
      <x:c r="B10" t="str">
        <x:v>facebook_instagram</x:v>
      </x:c>
      <x:c r="C10" t="str">
        <x:v>female</x:v>
      </x:c>
      <x:c r="D10" t="str">
        <x:v>25-34</x:v>
      </x:c>
      <x:c r="E10" t="str">
        <x:v>25</x:v>
      </x:c>
      <x:c r="F10" t="str">
        <x:v>34</x:v>
      </x:c>
      <x:c r="G10" t="str">
        <x:v>4900000</x:v>
      </x:c>
      <x:c r="H10" s="14" t="str">
        <x:v>5800000</x:v>
      </x:c>
      <x:c r="I10" s="14" t="str">
        <x:v>5350000</x:v>
      </x:c>
      <x:c r="J10" s="14" t="str">
        <x:v>v25.0</x:v>
      </x:c>
      <x:c r="K10" t="n">
        <x:v>46262.618730069444</x:v>
      </x:c>
      <x:c r="L10"/>
      <x:c r="M10"/>
    </x:row>
    <x:row r="11">
      <x:c r="A11" t="str">
        <x:v>DE</x:v>
      </x:c>
      <x:c r="B11" t="str">
        <x:v>facebook_instagram</x:v>
      </x:c>
      <x:c r="C11" t="str">
        <x:v>all</x:v>
      </x:c>
      <x:c r="D11" t="str">
        <x:v>35-44</x:v>
      </x:c>
      <x:c r="E11" t="str">
        <x:v>35</x:v>
      </x:c>
      <x:c r="F11" t="str">
        <x:v>44</x:v>
      </x:c>
      <x:c r="G11" t="str">
        <x:v>7800000</x:v>
      </x:c>
      <x:c r="H11" s="14" t="str">
        <x:v>9200000</x:v>
      </x:c>
      <x:c r="I11" s="14" t="str">
        <x:v>8500000</x:v>
      </x:c>
      <x:c r="J11" s="14" t="str">
        <x:v>v25.0</x:v>
      </x:c>
      <x:c r="K11" t="n">
        <x:v>46262.61874791667</x:v>
      </x:c>
      <x:c r="L11"/>
      <x:c r="M11"/>
    </x:row>
    <x:row r="12">
      <x:c r="A12" t="str">
        <x:v>DE</x:v>
      </x:c>
      <x:c r="B12" t="str">
        <x:v>facebook_instagram</x:v>
      </x:c>
      <x:c r="C12" t="str">
        <x:v>male</x:v>
      </x:c>
      <x:c r="D12" t="str">
        <x:v>35-44</x:v>
      </x:c>
      <x:c r="E12" t="str">
        <x:v>35</x:v>
      </x:c>
      <x:c r="F12" t="str">
        <x:v>44</x:v>
      </x:c>
      <x:c r="G12" t="str">
        <x:v>3800000</x:v>
      </x:c>
      <x:c r="H12" s="14" t="str">
        <x:v>4400000</x:v>
      </x:c>
      <x:c r="I12" s="14" t="str">
        <x:v>4100000</x:v>
      </x:c>
      <x:c r="J12" s="14" t="str">
        <x:v>v25.0</x:v>
      </x:c>
      <x:c r="K12" t="n">
        <x:v>46262.618767002314</x:v>
      </x:c>
      <x:c r="L12"/>
      <x:c r="M12"/>
    </x:row>
    <x:row r="13">
      <x:c r="A13" t="str">
        <x:v>DE</x:v>
      </x:c>
      <x:c r="B13" t="str">
        <x:v>facebook_instagram</x:v>
      </x:c>
      <x:c r="C13" t="str">
        <x:v>female</x:v>
      </x:c>
      <x:c r="D13" t="str">
        <x:v>35-44</x:v>
      </x:c>
      <x:c r="E13" t="str">
        <x:v>35</x:v>
      </x:c>
      <x:c r="F13" t="str">
        <x:v>44</x:v>
      </x:c>
      <x:c r="G13" t="str">
        <x:v>3900000</x:v>
      </x:c>
      <x:c r="H13" s="14" t="str">
        <x:v>4600000</x:v>
      </x:c>
      <x:c r="I13" s="14" t="str">
        <x:v>4250000</x:v>
      </x:c>
      <x:c r="J13" s="14" t="str">
        <x:v>v25.0</x:v>
      </x:c>
      <x:c r="K13" t="n">
        <x:v>46262.61878577546</x:v>
      </x:c>
      <x:c r="L13"/>
      <x:c r="M13"/>
    </x:row>
    <x:row r="14">
      <x:c r="A14" t="str">
        <x:v>DE</x:v>
      </x:c>
      <x:c r="B14" t="str">
        <x:v>facebook_instagram</x:v>
      </x:c>
      <x:c r="C14" t="str">
        <x:v>all</x:v>
      </x:c>
      <x:c r="D14" t="str">
        <x:v>45-54</x:v>
      </x:c>
      <x:c r="E14" t="str">
        <x:v>45</x:v>
      </x:c>
      <x:c r="F14" t="str">
        <x:v>54</x:v>
      </x:c>
      <x:c r="G14" t="str">
        <x:v>5600000</x:v>
      </x:c>
      <x:c r="H14" s="14" t="str">
        <x:v>6600000</x:v>
      </x:c>
      <x:c r="I14" s="14" t="str">
        <x:v>6100000</x:v>
      </x:c>
      <x:c r="J14" s="14" t="str">
        <x:v>v25.0</x:v>
      </x:c>
      <x:c r="K14" t="n">
        <x:v>46262.61880473379</x:v>
      </x:c>
      <x:c r="L14"/>
      <x:c r="M14"/>
    </x:row>
    <x:row r="15">
      <x:c r="A15" t="str">
        <x:v>DE</x:v>
      </x:c>
      <x:c r="B15" t="str">
        <x:v>facebook_instagram</x:v>
      </x:c>
      <x:c r="C15" t="str">
        <x:v>male</x:v>
      </x:c>
      <x:c r="D15" t="str">
        <x:v>45-54</x:v>
      </x:c>
      <x:c r="E15" t="str">
        <x:v>45</x:v>
      </x:c>
      <x:c r="F15" t="str">
        <x:v>54</x:v>
      </x:c>
      <x:c r="G15" t="str">
        <x:v>2500000</x:v>
      </x:c>
      <x:c r="H15" s="14" t="str">
        <x:v>3000000</x:v>
      </x:c>
      <x:c r="I15" s="14" t="str">
        <x:v>2750000</x:v>
      </x:c>
      <x:c r="J15" s="14" t="str">
        <x:v>v25.0</x:v>
      </x:c>
      <x:c r="K15" t="n">
        <x:v>46262.6188225</x:v>
      </x:c>
      <x:c r="L15"/>
      <x:c r="M15"/>
    </x:row>
    <x:row r="16">
      <x:c r="A16" t="str">
        <x:v>DE</x:v>
      </x:c>
      <x:c r="B16" t="str">
        <x:v>facebook_instagram</x:v>
      </x:c>
      <x:c r="C16" t="str">
        <x:v>female</x:v>
      </x:c>
      <x:c r="D16" t="str">
        <x:v>45-54</x:v>
      </x:c>
      <x:c r="E16" t="str">
        <x:v>45</x:v>
      </x:c>
      <x:c r="F16" t="str">
        <x:v>54</x:v>
      </x:c>
      <x:c r="G16" t="str">
        <x:v>3000000</x:v>
      </x:c>
      <x:c r="H16" s="14" t="str">
        <x:v>3500000</x:v>
      </x:c>
      <x:c r="I16" s="14" t="str">
        <x:v>3250000</x:v>
      </x:c>
      <x:c r="J16" s="14" t="str">
        <x:v>v25.0</x:v>
      </x:c>
      <x:c r="K16" t="n">
        <x:v>46262.61883762731</x:v>
      </x:c>
      <x:c r="L16"/>
      <x:c r="M16"/>
    </x:row>
    <x:row r="17">
      <x:c r="A17" t="str">
        <x:v>DE</x:v>
      </x:c>
      <x:c r="B17" t="str">
        <x:v>facebook_instagram</x:v>
      </x:c>
      <x:c r="C17" t="str">
        <x:v>all</x:v>
      </x:c>
      <x:c r="D17" t="str">
        <x:v>55-64</x:v>
      </x:c>
      <x:c r="E17" t="str">
        <x:v>55</x:v>
      </x:c>
      <x:c r="F17" t="str">
        <x:v>64</x:v>
      </x:c>
      <x:c r="G17" t="str">
        <x:v>4700000</x:v>
      </x:c>
      <x:c r="H17" s="14" t="str">
        <x:v>5500000</x:v>
      </x:c>
      <x:c r="I17" s="14" t="str">
        <x:v>5100000</x:v>
      </x:c>
      <x:c r="J17" s="14" t="str">
        <x:v>v25.0</x:v>
      </x:c>
      <x:c r="K17" t="n">
        <x:v>46262.61885451389</x:v>
      </x:c>
      <x:c r="L17"/>
      <x:c r="M17"/>
    </x:row>
    <x:row r="18">
      <x:c r="A18" t="str">
        <x:v>DE</x:v>
      </x:c>
      <x:c r="B18" t="str">
        <x:v>facebook_instagram</x:v>
      </x:c>
      <x:c r="C18" t="str">
        <x:v>male</x:v>
      </x:c>
      <x:c r="D18" t="str">
        <x:v>55-64</x:v>
      </x:c>
      <x:c r="E18" t="str">
        <x:v>55</x:v>
      </x:c>
      <x:c r="F18" t="str">
        <x:v>64</x:v>
      </x:c>
      <x:c r="G18" t="str">
        <x:v>2200000</x:v>
      </x:c>
      <x:c r="H18" s="14" t="str">
        <x:v>2600000</x:v>
      </x:c>
      <x:c r="I18" s="14" t="str">
        <x:v>2400000</x:v>
      </x:c>
      <x:c r="J18" s="14" t="str">
        <x:v>v25.0</x:v>
      </x:c>
      <x:c r="K18" t="n">
        <x:v>46262.618901932874</x:v>
      </x:c>
      <x:c r="L18"/>
      <x:c r="M18"/>
    </x:row>
    <x:row r="19">
      <x:c r="A19" t="str">
        <x:v>DE</x:v>
      </x:c>
      <x:c r="B19" t="str">
        <x:v>facebook_instagram</x:v>
      </x:c>
      <x:c r="C19" t="str">
        <x:v>female</x:v>
      </x:c>
      <x:c r="D19" t="str">
        <x:v>55-64</x:v>
      </x:c>
      <x:c r="E19" t="str">
        <x:v>55</x:v>
      </x:c>
      <x:c r="F19" t="str">
        <x:v>64</x:v>
      </x:c>
      <x:c r="G19" t="str">
        <x:v>2500000</x:v>
      </x:c>
      <x:c r="H19" s="14" t="str">
        <x:v>2900000</x:v>
      </x:c>
      <x:c r="I19" s="14" t="str">
        <x:v>2700000</x:v>
      </x:c>
      <x:c r="J19" s="14" t="str">
        <x:v>v25.0</x:v>
      </x:c>
      <x:c r="K19" t="n">
        <x:v>46262.61894814815</x:v>
      </x:c>
      <x:c r="L19"/>
      <x:c r="M19"/>
    </x:row>
    <x:row r="20">
      <x:c r="A20" t="str">
        <x:v>DE</x:v>
      </x:c>
      <x:c r="B20" t="str">
        <x:v>facebook_instagram</x:v>
      </x:c>
      <x:c r="C20" t="str">
        <x:v>all</x:v>
      </x:c>
      <x:c r="D20" t="str">
        <x:v>65+</x:v>
      </x:c>
      <x:c r="E20" t="str">
        <x:v>65</x:v>
      </x:c>
      <x:c r="F20" t="str">
        <x:v>65</x:v>
      </x:c>
      <x:c r="G20" t="str">
        <x:v>2900000</x:v>
      </x:c>
      <x:c r="H20" s="14" t="str">
        <x:v>3400000</x:v>
      </x:c>
      <x:c r="I20" s="14" t="str">
        <x:v>3150000</x:v>
      </x:c>
      <x:c r="J20" s="14" t="str">
        <x:v>v25.0</x:v>
      </x:c>
      <x:c r="K20" t="n">
        <x:v>46262.61896236111</x:v>
      </x:c>
      <x:c r="L20"/>
      <x:c r="M20"/>
    </x:row>
    <x:row r="21">
      <x:c r="A21" t="str">
        <x:v>DE</x:v>
      </x:c>
      <x:c r="B21" t="str">
        <x:v>facebook_instagram</x:v>
      </x:c>
      <x:c r="C21" t="str">
        <x:v>male</x:v>
      </x:c>
      <x:c r="D21" t="str">
        <x:v>65+</x:v>
      </x:c>
      <x:c r="E21" t="str">
        <x:v>65</x:v>
      </x:c>
      <x:c r="F21" t="str">
        <x:v>65</x:v>
      </x:c>
      <x:c r="G21" t="str">
        <x:v>1400000</x:v>
      </x:c>
      <x:c r="H21" s="14" t="str">
        <x:v>1600000</x:v>
      </x:c>
      <x:c r="I21" s="14" t="str">
        <x:v>1500000</x:v>
      </x:c>
      <x:c r="J21" s="14" t="str">
        <x:v>v25.0</x:v>
      </x:c>
      <x:c r="K21" t="n">
        <x:v>46262.61897847222</x:v>
      </x:c>
      <x:c r="L21"/>
      <x:c r="M21"/>
    </x:row>
    <x:row r="22">
      <x:c r="A22" t="str">
        <x:v>DE</x:v>
      </x:c>
      <x:c r="B22" t="str">
        <x:v>facebook_instagram</x:v>
      </x:c>
      <x:c r="C22" t="str">
        <x:v>female</x:v>
      </x:c>
      <x:c r="D22" t="str">
        <x:v>65+</x:v>
      </x:c>
      <x:c r="E22" t="str">
        <x:v>65</x:v>
      </x:c>
      <x:c r="F22" t="str">
        <x:v>65</x:v>
      </x:c>
      <x:c r="G22" t="str">
        <x:v>1500000</x:v>
      </x:c>
      <x:c r="H22" s="14" t="str">
        <x:v>1800000</x:v>
      </x:c>
      <x:c r="I22" s="14" t="str">
        <x:v>1650000</x:v>
      </x:c>
      <x:c r="J22" s="14" t="str">
        <x:v>v25.0</x:v>
      </x:c>
      <x:c r="K22" t="n">
        <x:v>46262.619027581015</x:v>
      </x:c>
      <x:c r="L22"/>
      <x:c r="M22"/>
    </x:row>
    <x:row r="23">
      <x:c r="A23" t="str">
        <x:v>DE</x:v>
      </x:c>
      <x:c r="B23" t="str">
        <x:v>facebook_only</x:v>
      </x:c>
      <x:c r="C23" t="str">
        <x:v>all</x:v>
      </x:c>
      <x:c r="D23" t="str">
        <x:v>18-65+</x:v>
      </x:c>
      <x:c r="E23" t="str">
        <x:v>18</x:v>
      </x:c>
      <x:c r="F23" t="str">
        <x:v>65</x:v>
      </x:c>
      <x:c r="G23" t="str">
        <x:v>20200000</x:v>
      </x:c>
      <x:c r="H23" s="14" t="str">
        <x:v>23800000</x:v>
      </x:c>
      <x:c r="I23" s="14" t="str">
        <x:v>22000000</x:v>
      </x:c>
      <x:c r="J23" s="14" t="str">
        <x:v>v25.0</x:v>
      </x:c>
      <x:c r="K23" t="n">
        <x:v>46262.61904295139</x:v>
      </x:c>
      <x:c r="L23"/>
      <x:c r="M23"/>
    </x:row>
    <x:row r="24">
      <x:c r="A24" t="str">
        <x:v>DE</x:v>
      </x:c>
      <x:c r="B24" t="str">
        <x:v>facebook_only</x:v>
      </x:c>
      <x:c r="C24" t="str">
        <x:v>male</x:v>
      </x:c>
      <x:c r="D24" t="str">
        <x:v>18-65+</x:v>
      </x:c>
      <x:c r="E24" t="str">
        <x:v>18</x:v>
      </x:c>
      <x:c r="F24" t="str">
        <x:v>65</x:v>
      </x:c>
      <x:c r="G24" t="str">
        <x:v>10000000</x:v>
      </x:c>
      <x:c r="H24" s="14" t="str">
        <x:v>11700000</x:v>
      </x:c>
      <x:c r="I24" s="14" t="str">
        <x:v>10850000</x:v>
      </x:c>
      <x:c r="J24" s="14" t="str">
        <x:v>v25.0</x:v>
      </x:c>
      <x:c r="K24" t="n">
        <x:v>46262.61908935185</x:v>
      </x:c>
      <x:c r="L24"/>
      <x:c r="M24"/>
    </x:row>
    <x:row r="25">
      <x:c r="A25" t="str">
        <x:v>DE</x:v>
      </x:c>
      <x:c r="B25" t="str">
        <x:v>facebook_only</x:v>
      </x:c>
      <x:c r="C25" t="str">
        <x:v>female</x:v>
      </x:c>
      <x:c r="D25" t="str">
        <x:v>18-65+</x:v>
      </x:c>
      <x:c r="E25" t="str">
        <x:v>18</x:v>
      </x:c>
      <x:c r="F25" t="str">
        <x:v>65</x:v>
      </x:c>
      <x:c r="G25" t="str">
        <x:v>10000000</x:v>
      </x:c>
      <x:c r="H25" s="14" t="str">
        <x:v>11800000</x:v>
      </x:c>
      <x:c r="I25" s="14" t="str">
        <x:v>10900000</x:v>
      </x:c>
      <x:c r="J25" s="14" t="str">
        <x:v>v25.0</x:v>
      </x:c>
      <x:c r="K25" t="n">
        <x:v>46262.619103599536</x:v>
      </x:c>
      <x:c r="L25"/>
      <x:c r="M25"/>
    </x:row>
    <x:row r="26">
      <x:c r="A26" t="str">
        <x:v>DE</x:v>
      </x:c>
      <x:c r="B26" t="str">
        <x:v>facebook_only</x:v>
      </x:c>
      <x:c r="C26" t="str">
        <x:v>all</x:v>
      </x:c>
      <x:c r="D26" t="str">
        <x:v>18-24</x:v>
      </x:c>
      <x:c r="E26" t="str">
        <x:v>18</x:v>
      </x:c>
      <x:c r="F26" t="str">
        <x:v>24</x:v>
      </x:c>
      <x:c r="G26" t="str">
        <x:v>1100000</x:v>
      </x:c>
      <x:c r="H26" s="14" t="str">
        <x:v>1300000</x:v>
      </x:c>
      <x:c r="I26" s="14" t="str">
        <x:v>1200000</x:v>
      </x:c>
      <x:c r="J26" s="14" t="str">
        <x:v>v25.0</x:v>
      </x:c>
      <x:c r="K26" t="n">
        <x:v>46262.619119027775</x:v>
      </x:c>
      <x:c r="L26"/>
      <x:c r="M26"/>
    </x:row>
    <x:row r="27">
      <x:c r="A27" t="str">
        <x:v>DE</x:v>
      </x:c>
      <x:c r="B27" t="str">
        <x:v>facebook_only</x:v>
      </x:c>
      <x:c r="C27" t="str">
        <x:v>male</x:v>
      </x:c>
      <x:c r="D27" t="str">
        <x:v>18-24</x:v>
      </x:c>
      <x:c r="E27" t="str">
        <x:v>18</x:v>
      </x:c>
      <x:c r="F27" t="str">
        <x:v>24</x:v>
      </x:c>
      <x:c r="G27" t="str">
        <x:v>521900</x:v>
      </x:c>
      <x:c r="H27" s="14" t="str">
        <x:v>614000</x:v>
      </x:c>
      <x:c r="I27" s="14" t="str">
        <x:v>567950</x:v>
      </x:c>
      <x:c r="J27" s="14" t="str">
        <x:v>v25.0</x:v>
      </x:c>
      <x:c r="K27" t="n">
        <x:v>46262.61913540509</x:v>
      </x:c>
      <x:c r="L27"/>
      <x:c r="M27"/>
    </x:row>
    <x:row r="28">
      <x:c r="A28" t="str">
        <x:v>DE</x:v>
      </x:c>
      <x:c r="B28" t="str">
        <x:v>facebook_only</x:v>
      </x:c>
      <x:c r="C28" t="str">
        <x:v>female</x:v>
      </x:c>
      <x:c r="D28" t="str">
        <x:v>18-24</x:v>
      </x:c>
      <x:c r="E28" t="str">
        <x:v>18</x:v>
      </x:c>
      <x:c r="F28" t="str">
        <x:v>24</x:v>
      </x:c>
      <x:c r="G28" t="str">
        <x:v>529700</x:v>
      </x:c>
      <x:c r="H28" s="14" t="str">
        <x:v>623100</x:v>
      </x:c>
      <x:c r="I28" s="14" t="str">
        <x:v>576400</x:v>
      </x:c>
      <x:c r="J28" s="14" t="str">
        <x:v>v25.0</x:v>
      </x:c>
      <x:c r="K28" t="n">
        <x:v>46262.61915200231</x:v>
      </x:c>
      <x:c r="L28"/>
      <x:c r="M28"/>
    </x:row>
    <x:row r="29">
      <x:c r="A29" t="str">
        <x:v>DE</x:v>
      </x:c>
      <x:c r="B29" t="str">
        <x:v>facebook_only</x:v>
      </x:c>
      <x:c r="C29" t="str">
        <x:v>all</x:v>
      </x:c>
      <x:c r="D29" t="str">
        <x:v>25-34</x:v>
      </x:c>
      <x:c r="E29" t="str">
        <x:v>25</x:v>
      </x:c>
      <x:c r="F29" t="str">
        <x:v>34</x:v>
      </x:c>
      <x:c r="G29" t="str">
        <x:v>4300000</x:v>
      </x:c>
      <x:c r="H29" s="14" t="str">
        <x:v>5000000</x:v>
      </x:c>
      <x:c r="I29" s="14" t="str">
        <x:v>4650000</x:v>
      </x:c>
      <x:c r="J29" s="14" t="str">
        <x:v>v25.0</x:v>
      </x:c>
      <x:c r="K29" t="n">
        <x:v>46262.61916858796</x:v>
      </x:c>
      <x:c r="L29"/>
      <x:c r="M29"/>
    </x:row>
    <x:row r="30">
      <x:c r="A30" t="str">
        <x:v>DE</x:v>
      </x:c>
      <x:c r="B30" t="str">
        <x:v>facebook_only</x:v>
      </x:c>
      <x:c r="C30" t="str">
        <x:v>male</x:v>
      </x:c>
      <x:c r="D30" t="str">
        <x:v>25-34</x:v>
      </x:c>
      <x:c r="E30" t="str">
        <x:v>25</x:v>
      </x:c>
      <x:c r="F30" t="str">
        <x:v>34</x:v>
      </x:c>
      <x:c r="G30" t="str">
        <x:v>2200000</x:v>
      </x:c>
      <x:c r="H30" s="14" t="str">
        <x:v>2600000</x:v>
      </x:c>
      <x:c r="I30" s="14" t="str">
        <x:v>2400000</x:v>
      </x:c>
      <x:c r="J30" s="14" t="str">
        <x:v>v25.0</x:v>
      </x:c>
      <x:c r="K30" t="n">
        <x:v>46262.61918530093</x:v>
      </x:c>
      <x:c r="L30"/>
      <x:c r="M30"/>
    </x:row>
    <x:row r="31">
      <x:c r="A31" t="str">
        <x:v>DE</x:v>
      </x:c>
      <x:c r="B31" t="str">
        <x:v>facebook_only</x:v>
      </x:c>
      <x:c r="C31" t="str">
        <x:v>female</x:v>
      </x:c>
      <x:c r="D31" t="str">
        <x:v>25-34</x:v>
      </x:c>
      <x:c r="E31" t="str">
        <x:v>25</x:v>
      </x:c>
      <x:c r="F31" t="str">
        <x:v>34</x:v>
      </x:c>
      <x:c r="G31" t="str">
        <x:v>2000000</x:v>
      </x:c>
      <x:c r="H31" s="14" t="str">
        <x:v>2400000</x:v>
      </x:c>
      <x:c r="I31" s="14" t="str">
        <x:v>2200000</x:v>
      </x:c>
      <x:c r="J31" s="14" t="str">
        <x:v>v25.0</x:v>
      </x:c>
      <x:c r="K31" t="n">
        <x:v>46262.61920295139</x:v>
      </x:c>
      <x:c r="L31"/>
      <x:c r="M31"/>
    </x:row>
    <x:row r="32">
      <x:c r="A32" t="str">
        <x:v>DE</x:v>
      </x:c>
      <x:c r="B32" t="str">
        <x:v>facebook_only</x:v>
      </x:c>
      <x:c r="C32" t="str">
        <x:v>all</x:v>
      </x:c>
      <x:c r="D32" t="str">
        <x:v>35-44</x:v>
      </x:c>
      <x:c r="E32" t="str">
        <x:v>35</x:v>
      </x:c>
      <x:c r="F32" t="str">
        <x:v>44</x:v>
      </x:c>
      <x:c r="G32" t="str">
        <x:v>5000000</x:v>
      </x:c>
      <x:c r="H32" s="14" t="str">
        <x:v>5900000</x:v>
      </x:c>
      <x:c r="I32" s="14" t="str">
        <x:v>5450000</x:v>
      </x:c>
      <x:c r="J32" s="14" t="str">
        <x:v>v25.0</x:v>
      </x:c>
      <x:c r="K32" t="n">
        <x:v>46262.61921846065</x:v>
      </x:c>
      <x:c r="L32"/>
      <x:c r="M32"/>
    </x:row>
    <x:row r="33">
      <x:c r="A33" t="str">
        <x:v>DE</x:v>
      </x:c>
      <x:c r="B33" t="str">
        <x:v>facebook_only</x:v>
      </x:c>
      <x:c r="C33" t="str">
        <x:v>male</x:v>
      </x:c>
      <x:c r="D33" t="str">
        <x:v>35-44</x:v>
      </x:c>
      <x:c r="E33" t="str">
        <x:v>35</x:v>
      </x:c>
      <x:c r="F33" t="str">
        <x:v>44</x:v>
      </x:c>
      <x:c r="G33" t="str">
        <x:v>2500000</x:v>
      </x:c>
      <x:c r="H33" s="14" t="str">
        <x:v>2900000</x:v>
      </x:c>
      <x:c r="I33" s="14" t="str">
        <x:v>2700000</x:v>
      </x:c>
      <x:c r="J33" s="14" t="str">
        <x:v>v25.0</x:v>
      </x:c>
      <x:c r="K33" t="n">
        <x:v>46262.61924332176</x:v>
      </x:c>
      <x:c r="L33"/>
      <x:c r="M33"/>
    </x:row>
    <x:row r="34">
      <x:c r="A34" t="str">
        <x:v>DE</x:v>
      </x:c>
      <x:c r="B34" t="str">
        <x:v>facebook_only</x:v>
      </x:c>
      <x:c r="C34" t="str">
        <x:v>female</x:v>
      </x:c>
      <x:c r="D34" t="str">
        <x:v>35-44</x:v>
      </x:c>
      <x:c r="E34" t="str">
        <x:v>35</x:v>
      </x:c>
      <x:c r="F34" t="str">
        <x:v>44</x:v>
      </x:c>
      <x:c r="G34" t="str">
        <x:v>2500000</x:v>
      </x:c>
      <x:c r="H34" s="14" t="str">
        <x:v>2900000</x:v>
      </x:c>
      <x:c r="I34" s="14" t="str">
        <x:v>2700000</x:v>
      </x:c>
      <x:c r="J34" s="14" t="str">
        <x:v>v25.0</x:v>
      </x:c>
      <x:c r="K34" t="n">
        <x:v>46262.61926079861</x:v>
      </x:c>
      <x:c r="L34"/>
      <x:c r="M34"/>
    </x:row>
    <x:row r="35">
      <x:c r="A35" t="str">
        <x:v>DE</x:v>
      </x:c>
      <x:c r="B35" t="str">
        <x:v>facebook_only</x:v>
      </x:c>
      <x:c r="C35" t="str">
        <x:v>all</x:v>
      </x:c>
      <x:c r="D35" t="str">
        <x:v>45-54</x:v>
      </x:c>
      <x:c r="E35" t="str">
        <x:v>45</x:v>
      </x:c>
      <x:c r="F35" t="str">
        <x:v>54</x:v>
      </x:c>
      <x:c r="G35" t="str">
        <x:v>3900000</x:v>
      </x:c>
      <x:c r="H35" s="14" t="str">
        <x:v>4600000</x:v>
      </x:c>
      <x:c r="I35" s="14" t="str">
        <x:v>4250000</x:v>
      </x:c>
      <x:c r="J35" s="14" t="str">
        <x:v>v25.0</x:v>
      </x:c>
      <x:c r="K35" t="n">
        <x:v>46262.61927762732</x:v>
      </x:c>
      <x:c r="L35"/>
      <x:c r="M35"/>
    </x:row>
    <x:row r="36">
      <x:c r="A36" t="str">
        <x:v>DE</x:v>
      </x:c>
      <x:c r="B36" t="str">
        <x:v>facebook_only</x:v>
      </x:c>
      <x:c r="C36" t="str">
        <x:v>male</x:v>
      </x:c>
      <x:c r="D36" t="str">
        <x:v>45-54</x:v>
      </x:c>
      <x:c r="E36" t="str">
        <x:v>45</x:v>
      </x:c>
      <x:c r="F36" t="str">
        <x:v>54</x:v>
      </x:c>
      <x:c r="G36" t="str">
        <x:v>1900000</x:v>
      </x:c>
      <x:c r="H36" s="14" t="str">
        <x:v>2200000</x:v>
      </x:c>
      <x:c r="I36" s="14" t="str">
        <x:v>2050000</x:v>
      </x:c>
      <x:c r="J36" s="14" t="str">
        <x:v>v25.0</x:v>
      </x:c>
      <x:c r="K36" t="n">
        <x:v>46262.61929422454</x:v>
      </x:c>
      <x:c r="L36"/>
      <x:c r="M36"/>
    </x:row>
    <x:row r="37">
      <x:c r="A37" t="str">
        <x:v>DE</x:v>
      </x:c>
      <x:c r="B37" t="str">
        <x:v>facebook_only</x:v>
      </x:c>
      <x:c r="C37" t="str">
        <x:v>female</x:v>
      </x:c>
      <x:c r="D37" t="str">
        <x:v>45-54</x:v>
      </x:c>
      <x:c r="E37" t="str">
        <x:v>45</x:v>
      </x:c>
      <x:c r="F37" t="str">
        <x:v>54</x:v>
      </x:c>
      <x:c r="G37" t="str">
        <x:v>2000000</x:v>
      </x:c>
      <x:c r="H37" s="14" t="str">
        <x:v>2400000</x:v>
      </x:c>
      <x:c r="I37" s="14" t="str">
        <x:v>2200000</x:v>
      </x:c>
      <x:c r="J37" s="14" t="str">
        <x:v>v25.0</x:v>
      </x:c>
      <x:c r="K37" t="n">
        <x:v>46262.61931199074</x:v>
      </x:c>
      <x:c r="L37"/>
      <x:c r="M37"/>
    </x:row>
    <x:row r="38">
      <x:c r="A38" t="str">
        <x:v>DE</x:v>
      </x:c>
      <x:c r="B38" t="str">
        <x:v>facebook_only</x:v>
      </x:c>
      <x:c r="C38" t="str">
        <x:v>all</x:v>
      </x:c>
      <x:c r="D38" t="str">
        <x:v>55-64</x:v>
      </x:c>
      <x:c r="E38" t="str">
        <x:v>55</x:v>
      </x:c>
      <x:c r="F38" t="str">
        <x:v>64</x:v>
      </x:c>
      <x:c r="G38" t="str">
        <x:v>3400000</x:v>
      </x:c>
      <x:c r="H38" s="14" t="str">
        <x:v>4000000</x:v>
      </x:c>
      <x:c r="I38" s="14" t="str">
        <x:v>3700000</x:v>
      </x:c>
      <x:c r="J38" s="14" t="str">
        <x:v>v25.0</x:v>
      </x:c>
      <x:c r="K38" t="n">
        <x:v>46262.61932858796</x:v>
      </x:c>
      <x:c r="L38"/>
      <x:c r="M38"/>
    </x:row>
    <x:row r="39">
      <x:c r="A39" t="str">
        <x:v>DE</x:v>
      </x:c>
      <x:c r="B39" t="str">
        <x:v>facebook_only</x:v>
      </x:c>
      <x:c r="C39" t="str">
        <x:v>male</x:v>
      </x:c>
      <x:c r="D39" t="str">
        <x:v>55-64</x:v>
      </x:c>
      <x:c r="E39" t="str">
        <x:v>55</x:v>
      </x:c>
      <x:c r="F39" t="str">
        <x:v>64</x:v>
      </x:c>
      <x:c r="G39" t="str">
        <x:v>1600000</x:v>
      </x:c>
      <x:c r="H39" s="14" t="str">
        <x:v>1900000</x:v>
      </x:c>
      <x:c r="I39" s="14" t="str">
        <x:v>1750000</x:v>
      </x:c>
      <x:c r="J39" s="14" t="str">
        <x:v>v25.0</x:v>
      </x:c>
      <x:c r="K39" t="n">
        <x:v>46262.61934518519</x:v>
      </x:c>
      <x:c r="L39"/>
      <x:c r="M39"/>
    </x:row>
    <x:row r="40">
      <x:c r="A40" t="str">
        <x:v>DE</x:v>
      </x:c>
      <x:c r="B40" t="str">
        <x:v>facebook_only</x:v>
      </x:c>
      <x:c r="C40" t="str">
        <x:v>female</x:v>
      </x:c>
      <x:c r="D40" t="str">
        <x:v>55-64</x:v>
      </x:c>
      <x:c r="E40" t="str">
        <x:v>55</x:v>
      </x:c>
      <x:c r="F40" t="str">
        <x:v>64</x:v>
      </x:c>
      <x:c r="G40" t="str">
        <x:v>1700000</x:v>
      </x:c>
      <x:c r="H40" s="14" t="str">
        <x:v>2100000</x:v>
      </x:c>
      <x:c r="I40" s="14" t="str">
        <x:v>1900000</x:v>
      </x:c>
      <x:c r="J40" s="14" t="str">
        <x:v>v25.0</x:v>
      </x:c>
      <x:c r="K40" t="n">
        <x:v>46262.61936293981</x:v>
      </x:c>
      <x:c r="L40"/>
      <x:c r="M40"/>
    </x:row>
    <x:row r="41">
      <x:c r="A41" t="str">
        <x:v>DE</x:v>
      </x:c>
      <x:c r="B41" t="str">
        <x:v>facebook_only</x:v>
      </x:c>
      <x:c r="C41" t="str">
        <x:v>all</x:v>
      </x:c>
      <x:c r="D41" t="str">
        <x:v>65+</x:v>
      </x:c>
      <x:c r="E41" t="str">
        <x:v>65</x:v>
      </x:c>
      <x:c r="F41" t="str">
        <x:v>65</x:v>
      </x:c>
      <x:c r="G41" t="str">
        <x:v>2300000</x:v>
      </x:c>
      <x:c r="H41" s="14" t="str">
        <x:v>2700000</x:v>
      </x:c>
      <x:c r="I41" s="14" t="str">
        <x:v>2500000</x:v>
      </x:c>
      <x:c r="J41" s="14" t="str">
        <x:v>v25.0</x:v>
      </x:c>
      <x:c r="K41" t="n">
        <x:v>46262.61937954861</x:v>
      </x:c>
      <x:c r="L41"/>
      <x:c r="M41"/>
    </x:row>
    <x:row r="42">
      <x:c r="A42" t="str">
        <x:v>DE</x:v>
      </x:c>
      <x:c r="B42" t="str">
        <x:v>facebook_only</x:v>
      </x:c>
      <x:c r="C42" t="str">
        <x:v>male</x:v>
      </x:c>
      <x:c r="D42" t="str">
        <x:v>65+</x:v>
      </x:c>
      <x:c r="E42" t="str">
        <x:v>65</x:v>
      </x:c>
      <x:c r="F42" t="str">
        <x:v>65</x:v>
      </x:c>
      <x:c r="G42" t="str">
        <x:v>1100000</x:v>
      </x:c>
      <x:c r="H42" s="14" t="str">
        <x:v>1300000</x:v>
      </x:c>
      <x:c r="I42" s="14" t="str">
        <x:v>1200000</x:v>
      </x:c>
      <x:c r="J42" s="14" t="str">
        <x:v>v25.0</x:v>
      </x:c>
      <x:c r="K42" t="n">
        <x:v>46262.61939612268</x:v>
      </x:c>
      <x:c r="L42"/>
      <x:c r="M42"/>
    </x:row>
    <x:row r="43">
      <x:c r="A43" t="str">
        <x:v>DE</x:v>
      </x:c>
      <x:c r="B43" t="str">
        <x:v>facebook_only</x:v>
      </x:c>
      <x:c r="C43" t="str">
        <x:v>female</x:v>
      </x:c>
      <x:c r="D43" t="str">
        <x:v>65+</x:v>
      </x:c>
      <x:c r="E43" t="str">
        <x:v>65</x:v>
      </x:c>
      <x:c r="F43" t="str">
        <x:v>65</x:v>
      </x:c>
      <x:c r="G43" t="str">
        <x:v>1200000</x:v>
      </x:c>
      <x:c r="H43" s="14" t="str">
        <x:v>1400000</x:v>
      </x:c>
      <x:c r="I43" s="14" t="str">
        <x:v>1300000</x:v>
      </x:c>
      <x:c r="J43" s="14" t="str">
        <x:v>v25.0</x:v>
      </x:c>
      <x:c r="K43" t="n">
        <x:v>46262.619413472225</x:v>
      </x:c>
      <x:c r="L43"/>
      <x:c r="M43"/>
    </x:row>
    <x:row r="44">
      <x:c r="A44" t="str">
        <x:v>DE</x:v>
      </x:c>
      <x:c r="B44" t="str">
        <x:v>instagram_only</x:v>
      </x:c>
      <x:c r="C44" t="str">
        <x:v>all</x:v>
      </x:c>
      <x:c r="D44" t="str">
        <x:v>18-65+</x:v>
      </x:c>
      <x:c r="E44" t="str">
        <x:v>18</x:v>
      </x:c>
      <x:c r="F44" t="str">
        <x:v>65</x:v>
      </x:c>
      <x:c r="G44" t="str">
        <x:v>27600000</x:v>
      </x:c>
      <x:c r="H44" s="14" t="str">
        <x:v>32500000</x:v>
      </x:c>
      <x:c r="I44" s="14" t="str">
        <x:v>30050000</x:v>
      </x:c>
      <x:c r="J44" s="14" t="str">
        <x:v>v25.0</x:v>
      </x:c>
      <x:c r="K44" t="n">
        <x:v>46262.61943168982</x:v>
      </x:c>
      <x:c r="L44"/>
      <x:c r="M44"/>
    </x:row>
    <x:row r="45">
      <x:c r="A45" t="str">
        <x:v>DE</x:v>
      </x:c>
      <x:c r="B45" t="str">
        <x:v>instagram_only</x:v>
      </x:c>
      <x:c r="C45" t="str">
        <x:v>male</x:v>
      </x:c>
      <x:c r="D45" t="str">
        <x:v>18-65+</x:v>
      </x:c>
      <x:c r="E45" t="str">
        <x:v>18</x:v>
      </x:c>
      <x:c r="F45" t="str">
        <x:v>65</x:v>
      </x:c>
      <x:c r="G45" t="str">
        <x:v>13000000</x:v>
      </x:c>
      <x:c r="H45" s="14" t="str">
        <x:v>15300000</x:v>
      </x:c>
      <x:c r="I45" s="14" t="str">
        <x:v>14150000</x:v>
      </x:c>
      <x:c r="J45" s="14" t="str">
        <x:v>v25.0</x:v>
      </x:c>
      <x:c r="K45" t="n">
        <x:v>46262.61946141204</x:v>
      </x:c>
      <x:c r="L45"/>
      <x:c r="M45"/>
    </x:row>
    <x:row r="46">
      <x:c r="A46" t="str">
        <x:v>DE</x:v>
      </x:c>
      <x:c r="B46" t="str">
        <x:v>instagram_only</x:v>
      </x:c>
      <x:c r="C46" t="str">
        <x:v>female</x:v>
      </x:c>
      <x:c r="D46" t="str">
        <x:v>18-65+</x:v>
      </x:c>
      <x:c r="E46" t="str">
        <x:v>18</x:v>
      </x:c>
      <x:c r="F46" t="str">
        <x:v>65</x:v>
      </x:c>
      <x:c r="G46" t="str">
        <x:v>14100000</x:v>
      </x:c>
      <x:c r="H46" s="14" t="str">
        <x:v>16600000</x:v>
      </x:c>
      <x:c r="I46" s="14" t="str">
        <x:v>15350000</x:v>
      </x:c>
      <x:c r="J46" s="14" t="str">
        <x:v>v25.0</x:v>
      </x:c>
      <x:c r="K46" t="n">
        <x:v>46262.61948030093</x:v>
      </x:c>
      <x:c r="L46"/>
      <x:c r="M46"/>
    </x:row>
    <x:row r="47">
      <x:c r="A47" t="str">
        <x:v>DE</x:v>
      </x:c>
      <x:c r="B47" t="str">
        <x:v>instagram_only</x:v>
      </x:c>
      <x:c r="C47" t="str">
        <x:v>all</x:v>
      </x:c>
      <x:c r="D47" t="str">
        <x:v>18-24</x:v>
      </x:c>
      <x:c r="E47" t="str">
        <x:v>18</x:v>
      </x:c>
      <x:c r="F47" t="str">
        <x:v>24</x:v>
      </x:c>
      <x:c r="G47" t="str">
        <x:v>4800000</x:v>
      </x:c>
      <x:c r="H47" s="14" t="str">
        <x:v>5600000</x:v>
      </x:c>
      <x:c r="I47" s="14" t="str">
        <x:v>5200000</x:v>
      </x:c>
      <x:c r="J47" s="14" t="str">
        <x:v>v25.0</x:v>
      </x:c>
      <x:c r="K47" t="n">
        <x:v>46262.619496875</x:v>
      </x:c>
      <x:c r="L47"/>
      <x:c r="M47"/>
    </x:row>
    <x:row r="48">
      <x:c r="A48" t="str">
        <x:v>DE</x:v>
      </x:c>
      <x:c r="B48" t="str">
        <x:v>instagram_only</x:v>
      </x:c>
      <x:c r="C48" t="str">
        <x:v>male</x:v>
      </x:c>
      <x:c r="D48" t="str">
        <x:v>18-24</x:v>
      </x:c>
      <x:c r="E48" t="str">
        <x:v>18</x:v>
      </x:c>
      <x:c r="F48" t="str">
        <x:v>24</x:v>
      </x:c>
      <x:c r="G48" t="str">
        <x:v>2300000</x:v>
      </x:c>
      <x:c r="H48" s="14" t="str">
        <x:v>2600000</x:v>
      </x:c>
      <x:c r="I48" s="14" t="str">
        <x:v>2450000</x:v>
      </x:c>
      <x:c r="J48" s="14" t="str">
        <x:v>v25.0</x:v>
      </x:c>
      <x:c r="K48" t="n">
        <x:v>46262.61951358796</x:v>
      </x:c>
      <x:c r="L48"/>
      <x:c r="M48"/>
    </x:row>
    <x:row r="49">
      <x:c r="A49" t="str">
        <x:v>DE</x:v>
      </x:c>
      <x:c r="B49" t="str">
        <x:v>instagram_only</x:v>
      </x:c>
      <x:c r="C49" t="str">
        <x:v>female</x:v>
      </x:c>
      <x:c r="D49" t="str">
        <x:v>18-24</x:v>
      </x:c>
      <x:c r="E49" t="str">
        <x:v>18</x:v>
      </x:c>
      <x:c r="F49" t="str">
        <x:v>24</x:v>
      </x:c>
      <x:c r="G49" t="str">
        <x:v>2400000</x:v>
      </x:c>
      <x:c r="H49" s="14" t="str">
        <x:v>2800000</x:v>
      </x:c>
      <x:c r="I49" s="14" t="str">
        <x:v>2600000</x:v>
      </x:c>
      <x:c r="J49" s="14" t="str">
        <x:v>v25.0</x:v>
      </x:c>
      <x:c r="K49" t="n">
        <x:v>46262.61953134259</x:v>
      </x:c>
      <x:c r="L49"/>
      <x:c r="M49"/>
    </x:row>
    <x:row r="50">
      <x:c r="A50" t="str">
        <x:v>DE</x:v>
      </x:c>
      <x:c r="B50" t="str">
        <x:v>instagram_only</x:v>
      </x:c>
      <x:c r="C50" t="str">
        <x:v>all</x:v>
      </x:c>
      <x:c r="D50" t="str">
        <x:v>25-34</x:v>
      </x:c>
      <x:c r="E50" t="str">
        <x:v>25</x:v>
      </x:c>
      <x:c r="F50" t="str">
        <x:v>34</x:v>
      </x:c>
      <x:c r="G50" t="str">
        <x:v>8500000</x:v>
      </x:c>
      <x:c r="H50" s="14" t="str">
        <x:v>10100000</x:v>
      </x:c>
      <x:c r="I50" s="14" t="str">
        <x:v>9300000</x:v>
      </x:c>
      <x:c r="J50" s="14" t="str">
        <x:v>v25.0</x:v>
      </x:c>
      <x:c r="K50" t="n">
        <x:v>46262.619549131945</x:v>
      </x:c>
      <x:c r="L50"/>
      <x:c r="M50"/>
    </x:row>
    <x:row r="51">
      <x:c r="A51" t="str">
        <x:v>DE</x:v>
      </x:c>
      <x:c r="B51" t="str">
        <x:v>instagram_only</x:v>
      </x:c>
      <x:c r="C51" t="str">
        <x:v>male</x:v>
      </x:c>
      <x:c r="D51" t="str">
        <x:v>25-34</x:v>
      </x:c>
      <x:c r="E51" t="str">
        <x:v>25</x:v>
      </x:c>
      <x:c r="F51" t="str">
        <x:v>34</x:v>
      </x:c>
      <x:c r="G51" t="str">
        <x:v>4300000</x:v>
      </x:c>
      <x:c r="H51" s="14" t="str">
        <x:v>5100000</x:v>
      </x:c>
      <x:c r="I51" s="14" t="str">
        <x:v>4700000</x:v>
      </x:c>
      <x:c r="J51" s="14" t="str">
        <x:v>v25.0</x:v>
      </x:c>
      <x:c r="K51" t="n">
        <x:v>46262.619568090275</x:v>
      </x:c>
      <x:c r="L51"/>
      <x:c r="M51"/>
    </x:row>
    <x:row r="52">
      <x:c r="A52" t="str">
        <x:v>DE</x:v>
      </x:c>
      <x:c r="B52" t="str">
        <x:v>instagram_only</x:v>
      </x:c>
      <x:c r="C52" t="str">
        <x:v>female</x:v>
      </x:c>
      <x:c r="D52" t="str">
        <x:v>25-34</x:v>
      </x:c>
      <x:c r="E52" t="str">
        <x:v>25</x:v>
      </x:c>
      <x:c r="F52" t="str">
        <x:v>34</x:v>
      </x:c>
      <x:c r="G52" t="str">
        <x:v>4100000</x:v>
      </x:c>
      <x:c r="H52" s="14" t="str">
        <x:v>4800000</x:v>
      </x:c>
      <x:c r="I52" s="14" t="str">
        <x:v>4450000</x:v>
      </x:c>
      <x:c r="J52" s="14" t="str">
        <x:v>v25.0</x:v>
      </x:c>
      <x:c r="K52" t="n">
        <x:v>46262.61958576389</x:v>
      </x:c>
      <x:c r="L52"/>
      <x:c r="M52"/>
    </x:row>
    <x:row r="53">
      <x:c r="A53" t="str">
        <x:v>DE</x:v>
      </x:c>
      <x:c r="B53" t="str">
        <x:v>instagram_only</x:v>
      </x:c>
      <x:c r="C53" t="str">
        <x:v>all</x:v>
      </x:c>
      <x:c r="D53" t="str">
        <x:v>35-44</x:v>
      </x:c>
      <x:c r="E53" t="str">
        <x:v>35</x:v>
      </x:c>
      <x:c r="F53" t="str">
        <x:v>44</x:v>
      </x:c>
      <x:c r="G53" t="str">
        <x:v>5800000</x:v>
      </x:c>
      <x:c r="H53" s="14" t="str">
        <x:v>6900000</x:v>
      </x:c>
      <x:c r="I53" s="14" t="str">
        <x:v>6350000</x:v>
      </x:c>
      <x:c r="J53" s="14" t="str">
        <x:v>v25.0</x:v>
      </x:c>
      <x:c r="K53" t="n">
        <x:v>46262.61960222222</x:v>
      </x:c>
      <x:c r="L53"/>
      <x:c r="M53"/>
    </x:row>
    <x:row r="54">
      <x:c r="A54" t="str">
        <x:v>DE</x:v>
      </x:c>
      <x:c r="B54" t="str">
        <x:v>instagram_only</x:v>
      </x:c>
      <x:c r="C54" t="str">
        <x:v>male</x:v>
      </x:c>
      <x:c r="D54" t="str">
        <x:v>35-44</x:v>
      </x:c>
      <x:c r="E54" t="str">
        <x:v>35</x:v>
      </x:c>
      <x:c r="F54" t="str">
        <x:v>44</x:v>
      </x:c>
      <x:c r="G54" t="str">
        <x:v>2700000</x:v>
      </x:c>
      <x:c r="H54" s="14" t="str">
        <x:v>3200000</x:v>
      </x:c>
      <x:c r="I54" s="14" t="str">
        <x:v>2950000</x:v>
      </x:c>
      <x:c r="J54" s="14" t="str">
        <x:v>v25.0</x:v>
      </x:c>
      <x:c r="K54" t="n">
        <x:v>46262.619618958335</x:v>
      </x:c>
      <x:c r="L54"/>
      <x:c r="M54"/>
    </x:row>
    <x:row r="55">
      <x:c r="A55" t="str">
        <x:v>DE</x:v>
      </x:c>
      <x:c r="B55" t="str">
        <x:v>instagram_only</x:v>
      </x:c>
      <x:c r="C55" t="str">
        <x:v>female</x:v>
      </x:c>
      <x:c r="D55" t="str">
        <x:v>35-44</x:v>
      </x:c>
      <x:c r="E55" t="str">
        <x:v>35</x:v>
      </x:c>
      <x:c r="F55" t="str">
        <x:v>44</x:v>
      </x:c>
      <x:c r="G55" t="str">
        <x:v>3000000</x:v>
      </x:c>
      <x:c r="H55" s="14" t="str">
        <x:v>3600000</x:v>
      </x:c>
      <x:c r="I55" s="14" t="str">
        <x:v>3300000</x:v>
      </x:c>
      <x:c r="J55" s="14" t="str">
        <x:v>v25.0</x:v>
      </x:c>
      <x:c r="K55" t="n">
        <x:v>46262.61963554398</x:v>
      </x:c>
      <x:c r="L55"/>
      <x:c r="M55"/>
    </x:row>
    <x:row r="56">
      <x:c r="A56" t="str">
        <x:v>DE</x:v>
      </x:c>
      <x:c r="B56" t="str">
        <x:v>instagram_only</x:v>
      </x:c>
      <x:c r="C56" t="str">
        <x:v>all</x:v>
      </x:c>
      <x:c r="D56" t="str">
        <x:v>45-54</x:v>
      </x:c>
      <x:c r="E56" t="str">
        <x:v>45</x:v>
      </x:c>
      <x:c r="F56" t="str">
        <x:v>54</x:v>
      </x:c>
      <x:c r="G56" t="str">
        <x:v>3900000</x:v>
      </x:c>
      <x:c r="H56" s="14" t="str">
        <x:v>4600000</x:v>
      </x:c>
      <x:c r="I56" s="14" t="str">
        <x:v>4250000</x:v>
      </x:c>
      <x:c r="J56" s="14" t="str">
        <x:v>v25.0</x:v>
      </x:c>
      <x:c r="K56" t="n">
        <x:v>46262.619654525464</x:v>
      </x:c>
      <x:c r="L56"/>
      <x:c r="M56"/>
    </x:row>
    <x:row r="57">
      <x:c r="A57" t="str">
        <x:v>DE</x:v>
      </x:c>
      <x:c r="B57" t="str">
        <x:v>instagram_only</x:v>
      </x:c>
      <x:c r="C57" t="str">
        <x:v>male</x:v>
      </x:c>
      <x:c r="D57" t="str">
        <x:v>45-54</x:v>
      </x:c>
      <x:c r="E57" t="str">
        <x:v>45</x:v>
      </x:c>
      <x:c r="F57" t="str">
        <x:v>54</x:v>
      </x:c>
      <x:c r="G57" t="str">
        <x:v>1700000</x:v>
      </x:c>
      <x:c r="H57" s="14" t="str">
        <x:v>1900000</x:v>
      </x:c>
      <x:c r="I57" s="14" t="str">
        <x:v>1800000</x:v>
      </x:c>
      <x:c r="J57" s="14" t="str">
        <x:v>v25.0</x:v>
      </x:c>
      <x:c r="K57" t="n">
        <x:v>46262.619673472225</x:v>
      </x:c>
      <x:c r="L57"/>
      <x:c r="M57"/>
    </x:row>
    <x:row r="58">
      <x:c r="A58" t="str">
        <x:v>DE</x:v>
      </x:c>
      <x:c r="B58" t="str">
        <x:v>instagram_only</x:v>
      </x:c>
      <x:c r="C58" t="str">
        <x:v>female</x:v>
      </x:c>
      <x:c r="D58" t="str">
        <x:v>45-54</x:v>
      </x:c>
      <x:c r="E58" t="str">
        <x:v>45</x:v>
      </x:c>
      <x:c r="F58" t="str">
        <x:v>54</x:v>
      </x:c>
      <x:c r="G58" t="str">
        <x:v>2200000</x:v>
      </x:c>
      <x:c r="H58" s="14" t="str">
        <x:v>2500000</x:v>
      </x:c>
      <x:c r="I58" s="14" t="str">
        <x:v>2350000</x:v>
      </x:c>
      <x:c r="J58" s="14" t="str">
        <x:v>v25.0</x:v>
      </x:c>
      <x:c r="K58" t="n">
        <x:v>46262.619690162035</x:v>
      </x:c>
      <x:c r="L58"/>
      <x:c r="M58"/>
    </x:row>
    <x:row r="59">
      <x:c r="A59" t="str">
        <x:v>DE</x:v>
      </x:c>
      <x:c r="B59" t="str">
        <x:v>instagram_only</x:v>
      </x:c>
      <x:c r="C59" t="str">
        <x:v>all</x:v>
      </x:c>
      <x:c r="D59" t="str">
        <x:v>55-64</x:v>
      </x:c>
      <x:c r="E59" t="str">
        <x:v>55</x:v>
      </x:c>
      <x:c r="F59" t="str">
        <x:v>64</x:v>
      </x:c>
      <x:c r="G59" t="str">
        <x:v>3000000</x:v>
      </x:c>
      <x:c r="H59" s="14" t="str">
        <x:v>3500000</x:v>
      </x:c>
      <x:c r="I59" s="14" t="str">
        <x:v>3250000</x:v>
      </x:c>
      <x:c r="J59" s="14" t="str">
        <x:v>v25.0</x:v>
      </x:c>
      <x:c r="K59" t="n">
        <x:v>46262.61970912037</x:v>
      </x:c>
      <x:c r="L59"/>
      <x:c r="M59"/>
    </x:row>
    <x:row r="60">
      <x:c r="A60" t="str">
        <x:v>DE</x:v>
      </x:c>
      <x:c r="B60" t="str">
        <x:v>instagram_only</x:v>
      </x:c>
      <x:c r="C60" t="str">
        <x:v>male</x:v>
      </x:c>
      <x:c r="D60" t="str">
        <x:v>55-64</x:v>
      </x:c>
      <x:c r="E60" t="str">
        <x:v>55</x:v>
      </x:c>
      <x:c r="F60" t="str">
        <x:v>64</x:v>
      </x:c>
      <x:c r="G60" t="str">
        <x:v>1300000</x:v>
      </x:c>
      <x:c r="H60" s="14" t="str">
        <x:v>1500000</x:v>
      </x:c>
      <x:c r="I60" s="14" t="str">
        <x:v>1400000</x:v>
      </x:c>
      <x:c r="J60" s="14" t="str">
        <x:v>v25.0</x:v>
      </x:c>
      <x:c r="K60" t="n">
        <x:v>46262.619725717595</x:v>
      </x:c>
      <x:c r="L60"/>
      <x:c r="M60"/>
    </x:row>
    <x:row r="61">
      <x:c r="A61" t="str">
        <x:v>DE</x:v>
      </x:c>
      <x:c r="B61" t="str">
        <x:v>instagram_only</x:v>
      </x:c>
      <x:c r="C61" t="str">
        <x:v>female</x:v>
      </x:c>
      <x:c r="D61" t="str">
        <x:v>55-64</x:v>
      </x:c>
      <x:c r="E61" t="str">
        <x:v>55</x:v>
      </x:c>
      <x:c r="F61" t="str">
        <x:v>64</x:v>
      </x:c>
      <x:c r="G61" t="str">
        <x:v>1600000</x:v>
      </x:c>
      <x:c r="H61" s="14" t="str">
        <x:v>1900000</x:v>
      </x:c>
      <x:c r="I61" s="14" t="str">
        <x:v>1750000</x:v>
      </x:c>
      <x:c r="J61" s="14" t="str">
        <x:v>v25.0</x:v>
      </x:c>
      <x:c r="K61" t="n">
        <x:v>46262.61974342592</x:v>
      </x:c>
      <x:c r="L61"/>
      <x:c r="M61"/>
    </x:row>
    <x:row r="62">
      <x:c r="A62" t="str">
        <x:v>DE</x:v>
      </x:c>
      <x:c r="B62" t="str">
        <x:v>instagram_only</x:v>
      </x:c>
      <x:c r="C62" t="str">
        <x:v>all</x:v>
      </x:c>
      <x:c r="D62" t="str">
        <x:v>65+</x:v>
      </x:c>
      <x:c r="E62" t="str">
        <x:v>65</x:v>
      </x:c>
      <x:c r="F62" t="str">
        <x:v>65</x:v>
      </x:c>
      <x:c r="G62" t="str">
        <x:v>1500000</x:v>
      </x:c>
      <x:c r="H62" s="14" t="str">
        <x:v>1700000</x:v>
      </x:c>
      <x:c r="I62" s="14" t="str">
        <x:v>1600000</x:v>
      </x:c>
      <x:c r="J62" s="14" t="str">
        <x:v>v25.0</x:v>
      </x:c>
      <x:c r="K62" t="n">
        <x:v>46262.619759988425</x:v>
      </x:c>
      <x:c r="L62"/>
      <x:c r="M62"/>
    </x:row>
    <x:row r="63">
      <x:c r="A63" t="str">
        <x:v>DE</x:v>
      </x:c>
      <x:c r="B63" t="str">
        <x:v>instagram_only</x:v>
      </x:c>
      <x:c r="C63" t="str">
        <x:v>male</x:v>
      </x:c>
      <x:c r="D63" t="str">
        <x:v>65+</x:v>
      </x:c>
      <x:c r="E63" t="str">
        <x:v>65</x:v>
      </x:c>
      <x:c r="F63" t="str">
        <x:v>65</x:v>
      </x:c>
      <x:c r="G63" t="str">
        <x:v>655100</x:v>
      </x:c>
      <x:c r="H63" s="14" t="str">
        <x:v>770700</x:v>
      </x:c>
      <x:c r="I63" s="14" t="str">
        <x:v>712900</x:v>
      </x:c>
      <x:c r="J63" s="14" t="str">
        <x:v>v25.0</x:v>
      </x:c>
      <x:c r="K63" t="n">
        <x:v>46262.619776597225</x:v>
      </x:c>
      <x:c r="L63"/>
      <x:c r="M63"/>
    </x:row>
    <x:row r="64">
      <x:c r="A64" t="str">
        <x:v>DE</x:v>
      </x:c>
      <x:c r="B64" t="str">
        <x:v>instagram_only</x:v>
      </x:c>
      <x:c r="C64" t="str">
        <x:v>female</x:v>
      </x:c>
      <x:c r="D64" t="str">
        <x:v>65+</x:v>
      </x:c>
      <x:c r="E64" t="str">
        <x:v>65</x:v>
      </x:c>
      <x:c r="F64" t="str">
        <x:v>65</x:v>
      </x:c>
      <x:c r="G64" t="str">
        <x:v>793300</x:v>
      </x:c>
      <x:c r="H64" s="14" t="str">
        <x:v>933300</x:v>
      </x:c>
      <x:c r="I64" s="14" t="str">
        <x:v>863300</x:v>
      </x:c>
      <x:c r="J64" s="14" t="str">
        <x:v>v25.0</x:v>
      </x:c>
      <x:c r="K64" t="n">
        <x:v>46262.619794375</x:v>
      </x:c>
      <x:c r="L64"/>
      <x:c r="M6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4" t="str">
        <x:v>Platform scope</x:v>
      </x:c>
      <x:c r="B1" s="4" t="str">
        <x:v>Gender</x:v>
      </x:c>
      <x:c r="C1" s="4" t="str">
        <x:v>Age band</x:v>
      </x:c>
      <x:c r="D1" s="4" t="str">
        <x:v>Lower bound</x:v>
      </x:c>
      <x:c r="E1" s="4" t="str">
        <x:v>Upper bound</x:v>
      </x:c>
      <x:c r="F1" s="4" t="str">
        <x:v>Midpoint formula</x:v>
      </x:c>
      <x:c r="G1" s="4" t="str">
        <x:v>Source CSV row</x:v>
      </x:c>
    </x:row>
    <x:row r="2">
      <x:c r="A2" t="str">
        <x:v>facebook_instagram</x:v>
      </x:c>
      <x:c r="B2" t="str">
        <x:v>all</x:v>
      </x:c>
      <x:c r="C2" t="str">
        <x:v>18-65+</x:v>
      </x:c>
      <x:c r="D2" s="14" t="n">
        <x:v>36800000</x:v>
      </x:c>
      <x:c r="E2" s="14" t="n">
        <x:v>43300000</x:v>
      </x:c>
      <x:c r="F2" s="14" t="n">
        <x:f>('Full CSV Data'!G2+'Full CSV Data'!H2)/2</x:f>
        <x:v>40050000</x:v>
      </x:c>
      <x:c r="G2" t="n">
        <x:v>2</x:v>
      </x:c>
    </x:row>
    <x:row r="3">
      <x:c r="A3" t="str">
        <x:v>facebook_instagram</x:v>
      </x:c>
      <x:c r="B3" t="str">
        <x:v>male</x:v>
      </x:c>
      <x:c r="C3" t="str">
        <x:v>18-65+</x:v>
      </x:c>
      <x:c r="D3" s="14" t="n">
        <x:v>17700000</x:v>
      </x:c>
      <x:c r="E3" s="14" t="n">
        <x:v>20800000</x:v>
      </x:c>
      <x:c r="F3" s="14" t="n">
        <x:f>('Full CSV Data'!G3+'Full CSV Data'!H3)/2</x:f>
        <x:v>19250000</x:v>
      </x:c>
      <x:c r="G3" t="n">
        <x:v>3</x:v>
      </x:c>
    </x:row>
    <x:row r="4">
      <x:c r="A4" t="str">
        <x:v>facebook_instagram</x:v>
      </x:c>
      <x:c r="B4" t="str">
        <x:v>female</x:v>
      </x:c>
      <x:c r="C4" t="str">
        <x:v>18-65+</x:v>
      </x:c>
      <x:c r="D4" s="14" t="n">
        <x:v>18600000</x:v>
      </x:c>
      <x:c r="E4" s="14" t="n">
        <x:v>21800000</x:v>
      </x:c>
      <x:c r="F4" s="14" t="n">
        <x:f>('Full CSV Data'!G4+'Full CSV Data'!H4)/2</x:f>
        <x:v>20200000</x:v>
      </x:c>
      <x:c r="G4" t="n">
        <x:v>4</x:v>
      </x:c>
    </x:row>
    <x:row r="5">
      <x:c r="A5" t="str">
        <x:v>facebook_instagram</x:v>
      </x:c>
      <x:c r="B5" t="str">
        <x:v>all</x:v>
      </x:c>
      <x:c r="C5" t="str">
        <x:v>18-24</x:v>
      </x:c>
      <x:c r="D5" s="14" t="n">
        <x:v>5300000</x:v>
      </x:c>
      <x:c r="E5" s="14" t="n">
        <x:v>6200000</x:v>
      </x:c>
      <x:c r="F5" s="14" t="n">
        <x:f>('Full CSV Data'!G5+'Full CSV Data'!H5)/2</x:f>
        <x:v>5750000</x:v>
      </x:c>
      <x:c r="G5" t="n">
        <x:v>5</x:v>
      </x:c>
    </x:row>
    <x:row r="6">
      <x:c r="A6" t="str">
        <x:v>facebook_instagram</x:v>
      </x:c>
      <x:c r="B6" t="str">
        <x:v>male</x:v>
      </x:c>
      <x:c r="C6" t="str">
        <x:v>18-24</x:v>
      </x:c>
      <x:c r="D6" s="14" t="n">
        <x:v>2500000</x:v>
      </x:c>
      <x:c r="E6" s="14" t="n">
        <x:v>2900000</x:v>
      </x:c>
      <x:c r="F6" s="14" t="n">
        <x:f>('Full CSV Data'!G6+'Full CSV Data'!H6)/2</x:f>
        <x:v>2700000</x:v>
      </x:c>
      <x:c r="G6" t="n">
        <x:v>6</x:v>
      </x:c>
    </x:row>
    <x:row r="7">
      <x:c r="A7" t="str">
        <x:v>facebook_instagram</x:v>
      </x:c>
      <x:c r="B7" t="str">
        <x:v>female</x:v>
      </x:c>
      <x:c r="C7" t="str">
        <x:v>18-24</x:v>
      </x:c>
      <x:c r="D7" s="14" t="n">
        <x:v>2700000</x:v>
      </x:c>
      <x:c r="E7" s="14" t="n">
        <x:v>3100000</x:v>
      </x:c>
      <x:c r="F7" s="14" t="n">
        <x:f>('Full CSV Data'!G7+'Full CSV Data'!H7)/2</x:f>
        <x:v>2900000</x:v>
      </x:c>
      <x:c r="G7" t="n">
        <x:v>7</x:v>
      </x:c>
    </x:row>
    <x:row r="8">
      <x:c r="A8" t="str">
        <x:v>facebook_instagram</x:v>
      </x:c>
      <x:c r="B8" t="str">
        <x:v>all</x:v>
      </x:c>
      <x:c r="C8" t="str">
        <x:v>25-34</x:v>
      </x:c>
      <x:c r="D8" s="14" t="n">
        <x:v>10200000</x:v>
      </x:c>
      <x:c r="E8" s="14" t="n">
        <x:v>12000000</x:v>
      </x:c>
      <x:c r="F8" s="14" t="n">
        <x:f>('Full CSV Data'!G8+'Full CSV Data'!H8)/2</x:f>
        <x:v>11100000</x:v>
      </x:c>
      <x:c r="G8" t="n">
        <x:v>8</x:v>
      </x:c>
    </x:row>
    <x:row r="9">
      <x:c r="A9" t="str">
        <x:v>facebook_instagram</x:v>
      </x:c>
      <x:c r="B9" t="str">
        <x:v>male</x:v>
      </x:c>
      <x:c r="C9" t="str">
        <x:v>25-34</x:v>
      </x:c>
      <x:c r="D9" s="14" t="n">
        <x:v>5200000</x:v>
      </x:c>
      <x:c r="E9" s="14" t="n">
        <x:v>6100000</x:v>
      </x:c>
      <x:c r="F9" s="14" t="n">
        <x:f>('Full CSV Data'!G9+'Full CSV Data'!H9)/2</x:f>
        <x:v>5650000</x:v>
      </x:c>
      <x:c r="G9" t="n">
        <x:v>9</x:v>
      </x:c>
    </x:row>
    <x:row r="10">
      <x:c r="A10" t="str">
        <x:v>facebook_instagram</x:v>
      </x:c>
      <x:c r="B10" t="str">
        <x:v>female</x:v>
      </x:c>
      <x:c r="C10" t="str">
        <x:v>25-34</x:v>
      </x:c>
      <x:c r="D10" s="14" t="n">
        <x:v>4900000</x:v>
      </x:c>
      <x:c r="E10" s="14" t="n">
        <x:v>5800000</x:v>
      </x:c>
      <x:c r="F10" s="14" t="n">
        <x:f>('Full CSV Data'!G10+'Full CSV Data'!H10)/2</x:f>
        <x:v>5350000</x:v>
      </x:c>
      <x:c r="G10" t="n">
        <x:v>10</x:v>
      </x:c>
    </x:row>
    <x:row r="11">
      <x:c r="A11" t="str">
        <x:v>facebook_instagram</x:v>
      </x:c>
      <x:c r="B11" t="str">
        <x:v>all</x:v>
      </x:c>
      <x:c r="C11" t="str">
        <x:v>35-44</x:v>
      </x:c>
      <x:c r="D11" s="14" t="n">
        <x:v>7800000</x:v>
      </x:c>
      <x:c r="E11" s="14" t="n">
        <x:v>9200000</x:v>
      </x:c>
      <x:c r="F11" s="14" t="n">
        <x:f>('Full CSV Data'!G11+'Full CSV Data'!H11)/2</x:f>
        <x:v>8500000</x:v>
      </x:c>
      <x:c r="G11" t="n">
        <x:v>11</x:v>
      </x:c>
    </x:row>
    <x:row r="12">
      <x:c r="A12" t="str">
        <x:v>facebook_instagram</x:v>
      </x:c>
      <x:c r="B12" t="str">
        <x:v>male</x:v>
      </x:c>
      <x:c r="C12" t="str">
        <x:v>35-44</x:v>
      </x:c>
      <x:c r="D12" s="14" t="n">
        <x:v>3800000</x:v>
      </x:c>
      <x:c r="E12" s="14" t="n">
        <x:v>4400000</x:v>
      </x:c>
      <x:c r="F12" s="14" t="n">
        <x:f>('Full CSV Data'!G12+'Full CSV Data'!H12)/2</x:f>
        <x:v>4100000</x:v>
      </x:c>
      <x:c r="G12" t="n">
        <x:v>12</x:v>
      </x:c>
    </x:row>
    <x:row r="13">
      <x:c r="A13" t="str">
        <x:v>facebook_instagram</x:v>
      </x:c>
      <x:c r="B13" t="str">
        <x:v>female</x:v>
      </x:c>
      <x:c r="C13" t="str">
        <x:v>35-44</x:v>
      </x:c>
      <x:c r="D13" s="14" t="n">
        <x:v>3900000</x:v>
      </x:c>
      <x:c r="E13" s="14" t="n">
        <x:v>4600000</x:v>
      </x:c>
      <x:c r="F13" s="14" t="n">
        <x:f>('Full CSV Data'!G13+'Full CSV Data'!H13)/2</x:f>
        <x:v>4250000</x:v>
      </x:c>
      <x:c r="G13" t="n">
        <x:v>13</x:v>
      </x:c>
    </x:row>
    <x:row r="14">
      <x:c r="A14" t="str">
        <x:v>facebook_instagram</x:v>
      </x:c>
      <x:c r="B14" t="str">
        <x:v>all</x:v>
      </x:c>
      <x:c r="C14" t="str">
        <x:v>45-54</x:v>
      </x:c>
      <x:c r="D14" s="14" t="n">
        <x:v>5600000</x:v>
      </x:c>
      <x:c r="E14" s="14" t="n">
        <x:v>6600000</x:v>
      </x:c>
      <x:c r="F14" s="14" t="n">
        <x:f>('Full CSV Data'!G14+'Full CSV Data'!H14)/2</x:f>
        <x:v>6100000</x:v>
      </x:c>
      <x:c r="G14" t="n">
        <x:v>14</x:v>
      </x:c>
    </x:row>
    <x:row r="15">
      <x:c r="A15" t="str">
        <x:v>facebook_instagram</x:v>
      </x:c>
      <x:c r="B15" t="str">
        <x:v>male</x:v>
      </x:c>
      <x:c r="C15" t="str">
        <x:v>45-54</x:v>
      </x:c>
      <x:c r="D15" s="14" t="n">
        <x:v>2500000</x:v>
      </x:c>
      <x:c r="E15" s="14" t="n">
        <x:v>3000000</x:v>
      </x:c>
      <x:c r="F15" s="14" t="n">
        <x:f>('Full CSV Data'!G15+'Full CSV Data'!H15)/2</x:f>
        <x:v>2750000</x:v>
      </x:c>
      <x:c r="G15" t="n">
        <x:v>15</x:v>
      </x:c>
    </x:row>
    <x:row r="16">
      <x:c r="A16" t="str">
        <x:v>facebook_instagram</x:v>
      </x:c>
      <x:c r="B16" t="str">
        <x:v>female</x:v>
      </x:c>
      <x:c r="C16" t="str">
        <x:v>45-54</x:v>
      </x:c>
      <x:c r="D16" s="14" t="n">
        <x:v>3000000</x:v>
      </x:c>
      <x:c r="E16" s="14" t="n">
        <x:v>3500000</x:v>
      </x:c>
      <x:c r="F16" s="14" t="n">
        <x:f>('Full CSV Data'!G16+'Full CSV Data'!H16)/2</x:f>
        <x:v>3250000</x:v>
      </x:c>
      <x:c r="G16" t="n">
        <x:v>16</x:v>
      </x:c>
    </x:row>
    <x:row r="17">
      <x:c r="A17" t="str">
        <x:v>facebook_instagram</x:v>
      </x:c>
      <x:c r="B17" t="str">
        <x:v>all</x:v>
      </x:c>
      <x:c r="C17" t="str">
        <x:v>55-64</x:v>
      </x:c>
      <x:c r="D17" s="14" t="n">
        <x:v>4700000</x:v>
      </x:c>
      <x:c r="E17" s="14" t="n">
        <x:v>5500000</x:v>
      </x:c>
      <x:c r="F17" s="14" t="n">
        <x:f>('Full CSV Data'!G17+'Full CSV Data'!H17)/2</x:f>
        <x:v>5100000</x:v>
      </x:c>
      <x:c r="G17" t="n">
        <x:v>17</x:v>
      </x:c>
    </x:row>
    <x:row r="18">
      <x:c r="A18" t="str">
        <x:v>facebook_instagram</x:v>
      </x:c>
      <x:c r="B18" t="str">
        <x:v>male</x:v>
      </x:c>
      <x:c r="C18" t="str">
        <x:v>55-64</x:v>
      </x:c>
      <x:c r="D18" s="14" t="n">
        <x:v>2200000</x:v>
      </x:c>
      <x:c r="E18" s="14" t="n">
        <x:v>2600000</x:v>
      </x:c>
      <x:c r="F18" s="14" t="n">
        <x:f>('Full CSV Data'!G18+'Full CSV Data'!H18)/2</x:f>
        <x:v>2400000</x:v>
      </x:c>
      <x:c r="G18" t="n">
        <x:v>18</x:v>
      </x:c>
    </x:row>
    <x:row r="19">
      <x:c r="A19" t="str">
        <x:v>facebook_instagram</x:v>
      </x:c>
      <x:c r="B19" t="str">
        <x:v>female</x:v>
      </x:c>
      <x:c r="C19" t="str">
        <x:v>55-64</x:v>
      </x:c>
      <x:c r="D19" s="14" t="n">
        <x:v>2500000</x:v>
      </x:c>
      <x:c r="E19" s="14" t="n">
        <x:v>2900000</x:v>
      </x:c>
      <x:c r="F19" s="14" t="n">
        <x:f>('Full CSV Data'!G19+'Full CSV Data'!H19)/2</x:f>
        <x:v>2700000</x:v>
      </x:c>
      <x:c r="G19" t="n">
        <x:v>19</x:v>
      </x:c>
    </x:row>
    <x:row r="20">
      <x:c r="A20" t="str">
        <x:v>facebook_instagram</x:v>
      </x:c>
      <x:c r="B20" t="str">
        <x:v>all</x:v>
      </x:c>
      <x:c r="C20" t="str">
        <x:v>65+</x:v>
      </x:c>
      <x:c r="D20" s="14" t="n">
        <x:v>2900000</x:v>
      </x:c>
      <x:c r="E20" s="14" t="n">
        <x:v>3400000</x:v>
      </x:c>
      <x:c r="F20" s="14" t="n">
        <x:f>('Full CSV Data'!G20+'Full CSV Data'!H20)/2</x:f>
        <x:v>3150000</x:v>
      </x:c>
      <x:c r="G20" t="n">
        <x:v>20</x:v>
      </x:c>
    </x:row>
    <x:row r="21">
      <x:c r="A21" t="str">
        <x:v>facebook_instagram</x:v>
      </x:c>
      <x:c r="B21" t="str">
        <x:v>male</x:v>
      </x:c>
      <x:c r="C21" t="str">
        <x:v>65+</x:v>
      </x:c>
      <x:c r="D21" s="14" t="n">
        <x:v>1400000</x:v>
      </x:c>
      <x:c r="E21" s="14" t="n">
        <x:v>1600000</x:v>
      </x:c>
      <x:c r="F21" s="14" t="n">
        <x:f>('Full CSV Data'!G21+'Full CSV Data'!H21)/2</x:f>
        <x:v>1500000</x:v>
      </x:c>
      <x:c r="G21" t="n">
        <x:v>21</x:v>
      </x:c>
    </x:row>
    <x:row r="22">
      <x:c r="A22" t="str">
        <x:v>facebook_instagram</x:v>
      </x:c>
      <x:c r="B22" t="str">
        <x:v>female</x:v>
      </x:c>
      <x:c r="C22" t="str">
        <x:v>65+</x:v>
      </x:c>
      <x:c r="D22" s="14" t="n">
        <x:v>1500000</x:v>
      </x:c>
      <x:c r="E22" s="14" t="n">
        <x:v>1800000</x:v>
      </x:c>
      <x:c r="F22" s="14" t="n">
        <x:f>('Full CSV Data'!G22+'Full CSV Data'!H22)/2</x:f>
        <x:v>1650000</x:v>
      </x:c>
      <x:c r="G22" t="n">
        <x:v>22</x:v>
      </x:c>
    </x:row>
    <x:row r="23">
      <x:c r="A23" t="str">
        <x:v>facebook_only</x:v>
      </x:c>
      <x:c r="B23" t="str">
        <x:v>all</x:v>
      </x:c>
      <x:c r="C23" t="str">
        <x:v>18-65+</x:v>
      </x:c>
      <x:c r="D23" s="14" t="n">
        <x:v>20200000</x:v>
      </x:c>
      <x:c r="E23" s="14" t="n">
        <x:v>23800000</x:v>
      </x:c>
      <x:c r="F23" s="14" t="n">
        <x:f>('Full CSV Data'!G23+'Full CSV Data'!H23)/2</x:f>
        <x:v>22000000</x:v>
      </x:c>
      <x:c r="G23" t="n">
        <x:v>23</x:v>
      </x:c>
    </x:row>
    <x:row r="24">
      <x:c r="A24" t="str">
        <x:v>facebook_only</x:v>
      </x:c>
      <x:c r="B24" t="str">
        <x:v>male</x:v>
      </x:c>
      <x:c r="C24" t="str">
        <x:v>18-65+</x:v>
      </x:c>
      <x:c r="D24" s="14" t="n">
        <x:v>10000000</x:v>
      </x:c>
      <x:c r="E24" s="14" t="n">
        <x:v>11700000</x:v>
      </x:c>
      <x:c r="F24" s="14" t="n">
        <x:f>('Full CSV Data'!G24+'Full CSV Data'!H24)/2</x:f>
        <x:v>10850000</x:v>
      </x:c>
      <x:c r="G24" t="n">
        <x:v>24</x:v>
      </x:c>
    </x:row>
    <x:row r="25">
      <x:c r="A25" t="str">
        <x:v>facebook_only</x:v>
      </x:c>
      <x:c r="B25" t="str">
        <x:v>female</x:v>
      </x:c>
      <x:c r="C25" t="str">
        <x:v>18-65+</x:v>
      </x:c>
      <x:c r="D25" s="14" t="n">
        <x:v>10000000</x:v>
      </x:c>
      <x:c r="E25" s="14" t="n">
        <x:v>11800000</x:v>
      </x:c>
      <x:c r="F25" s="14" t="n">
        <x:f>('Full CSV Data'!G25+'Full CSV Data'!H25)/2</x:f>
        <x:v>10900000</x:v>
      </x:c>
      <x:c r="G25" t="n">
        <x:v>25</x:v>
      </x:c>
    </x:row>
    <x:row r="26">
      <x:c r="A26" t="str">
        <x:v>facebook_only</x:v>
      </x:c>
      <x:c r="B26" t="str">
        <x:v>all</x:v>
      </x:c>
      <x:c r="C26" t="str">
        <x:v>18-24</x:v>
      </x:c>
      <x:c r="D26" s="14" t="n">
        <x:v>1100000</x:v>
      </x:c>
      <x:c r="E26" s="14" t="n">
        <x:v>1300000</x:v>
      </x:c>
      <x:c r="F26" s="14" t="n">
        <x:f>('Full CSV Data'!G26+'Full CSV Data'!H26)/2</x:f>
        <x:v>1200000</x:v>
      </x:c>
      <x:c r="G26" t="n">
        <x:v>26</x:v>
      </x:c>
    </x:row>
    <x:row r="27">
      <x:c r="A27" t="str">
        <x:v>facebook_only</x:v>
      </x:c>
      <x:c r="B27" t="str">
        <x:v>male</x:v>
      </x:c>
      <x:c r="C27" t="str">
        <x:v>18-24</x:v>
      </x:c>
      <x:c r="D27" s="14" t="n">
        <x:v>521900</x:v>
      </x:c>
      <x:c r="E27" s="14" t="n">
        <x:v>614000</x:v>
      </x:c>
      <x:c r="F27" s="14" t="n">
        <x:f>('Full CSV Data'!G27+'Full CSV Data'!H27)/2</x:f>
        <x:v>567950</x:v>
      </x:c>
      <x:c r="G27" t="n">
        <x:v>27</x:v>
      </x:c>
    </x:row>
    <x:row r="28">
      <x:c r="A28" t="str">
        <x:v>facebook_only</x:v>
      </x:c>
      <x:c r="B28" t="str">
        <x:v>female</x:v>
      </x:c>
      <x:c r="C28" t="str">
        <x:v>18-24</x:v>
      </x:c>
      <x:c r="D28" s="14" t="n">
        <x:v>529700</x:v>
      </x:c>
      <x:c r="E28" s="14" t="n">
        <x:v>623100</x:v>
      </x:c>
      <x:c r="F28" s="14" t="n">
        <x:f>('Full CSV Data'!G28+'Full CSV Data'!H28)/2</x:f>
        <x:v>576400</x:v>
      </x:c>
      <x:c r="G28" t="n">
        <x:v>28</x:v>
      </x:c>
    </x:row>
    <x:row r="29">
      <x:c r="A29" t="str">
        <x:v>facebook_only</x:v>
      </x:c>
      <x:c r="B29" t="str">
        <x:v>all</x:v>
      </x:c>
      <x:c r="C29" t="str">
        <x:v>25-34</x:v>
      </x:c>
      <x:c r="D29" s="14" t="n">
        <x:v>4300000</x:v>
      </x:c>
      <x:c r="E29" s="14" t="n">
        <x:v>5000000</x:v>
      </x:c>
      <x:c r="F29" s="14" t="n">
        <x:f>('Full CSV Data'!G29+'Full CSV Data'!H29)/2</x:f>
        <x:v>4650000</x:v>
      </x:c>
      <x:c r="G29" t="n">
        <x:v>29</x:v>
      </x:c>
    </x:row>
    <x:row r="30">
      <x:c r="A30" t="str">
        <x:v>facebook_only</x:v>
      </x:c>
      <x:c r="B30" t="str">
        <x:v>male</x:v>
      </x:c>
      <x:c r="C30" t="str">
        <x:v>25-34</x:v>
      </x:c>
      <x:c r="D30" s="14" t="n">
        <x:v>2200000</x:v>
      </x:c>
      <x:c r="E30" s="14" t="n">
        <x:v>2600000</x:v>
      </x:c>
      <x:c r="F30" s="14" t="n">
        <x:f>('Full CSV Data'!G30+'Full CSV Data'!H30)/2</x:f>
        <x:v>2400000</x:v>
      </x:c>
      <x:c r="G30" t="n">
        <x:v>30</x:v>
      </x:c>
    </x:row>
    <x:row r="31">
      <x:c r="A31" t="str">
        <x:v>facebook_only</x:v>
      </x:c>
      <x:c r="B31" t="str">
        <x:v>female</x:v>
      </x:c>
      <x:c r="C31" t="str">
        <x:v>25-34</x:v>
      </x:c>
      <x:c r="D31" s="14" t="n">
        <x:v>2000000</x:v>
      </x:c>
      <x:c r="E31" s="14" t="n">
        <x:v>2400000</x:v>
      </x:c>
      <x:c r="F31" s="14" t="n">
        <x:f>('Full CSV Data'!G31+'Full CSV Data'!H31)/2</x:f>
        <x:v>2200000</x:v>
      </x:c>
      <x:c r="G31" t="n">
        <x:v>31</x:v>
      </x:c>
    </x:row>
    <x:row r="32">
      <x:c r="A32" t="str">
        <x:v>facebook_only</x:v>
      </x:c>
      <x:c r="B32" t="str">
        <x:v>all</x:v>
      </x:c>
      <x:c r="C32" t="str">
        <x:v>35-44</x:v>
      </x:c>
      <x:c r="D32" s="14" t="n">
        <x:v>5000000</x:v>
      </x:c>
      <x:c r="E32" s="14" t="n">
        <x:v>5900000</x:v>
      </x:c>
      <x:c r="F32" s="14" t="n">
        <x:f>('Full CSV Data'!G32+'Full CSV Data'!H32)/2</x:f>
        <x:v>5450000</x:v>
      </x:c>
      <x:c r="G32" t="n">
        <x:v>32</x:v>
      </x:c>
    </x:row>
    <x:row r="33">
      <x:c r="A33" t="str">
        <x:v>facebook_only</x:v>
      </x:c>
      <x:c r="B33" t="str">
        <x:v>male</x:v>
      </x:c>
      <x:c r="C33" t="str">
        <x:v>35-44</x:v>
      </x:c>
      <x:c r="D33" s="14" t="n">
        <x:v>2500000</x:v>
      </x:c>
      <x:c r="E33" s="14" t="n">
        <x:v>2900000</x:v>
      </x:c>
      <x:c r="F33" s="14" t="n">
        <x:f>('Full CSV Data'!G33+'Full CSV Data'!H33)/2</x:f>
        <x:v>2700000</x:v>
      </x:c>
      <x:c r="G33" t="n">
        <x:v>33</x:v>
      </x:c>
    </x:row>
    <x:row r="34">
      <x:c r="A34" t="str">
        <x:v>facebook_only</x:v>
      </x:c>
      <x:c r="B34" t="str">
        <x:v>female</x:v>
      </x:c>
      <x:c r="C34" t="str">
        <x:v>35-44</x:v>
      </x:c>
      <x:c r="D34" s="14" t="n">
        <x:v>2500000</x:v>
      </x:c>
      <x:c r="E34" s="14" t="n">
        <x:v>2900000</x:v>
      </x:c>
      <x:c r="F34" s="14" t="n">
        <x:f>('Full CSV Data'!G34+'Full CSV Data'!H34)/2</x:f>
        <x:v>2700000</x:v>
      </x:c>
      <x:c r="G34" t="n">
        <x:v>34</x:v>
      </x:c>
    </x:row>
    <x:row r="35">
      <x:c r="A35" t="str">
        <x:v>facebook_only</x:v>
      </x:c>
      <x:c r="B35" t="str">
        <x:v>all</x:v>
      </x:c>
      <x:c r="C35" t="str">
        <x:v>45-54</x:v>
      </x:c>
      <x:c r="D35" s="14" t="n">
        <x:v>3900000</x:v>
      </x:c>
      <x:c r="E35" s="14" t="n">
        <x:v>4600000</x:v>
      </x:c>
      <x:c r="F35" s="14" t="n">
        <x:f>('Full CSV Data'!G35+'Full CSV Data'!H35)/2</x:f>
        <x:v>4250000</x:v>
      </x:c>
      <x:c r="G35" t="n">
        <x:v>35</x:v>
      </x:c>
    </x:row>
    <x:row r="36">
      <x:c r="A36" t="str">
        <x:v>facebook_only</x:v>
      </x:c>
      <x:c r="B36" t="str">
        <x:v>male</x:v>
      </x:c>
      <x:c r="C36" t="str">
        <x:v>45-54</x:v>
      </x:c>
      <x:c r="D36" s="14" t="n">
        <x:v>1900000</x:v>
      </x:c>
      <x:c r="E36" s="14" t="n">
        <x:v>2200000</x:v>
      </x:c>
      <x:c r="F36" s="14" t="n">
        <x:f>('Full CSV Data'!G36+'Full CSV Data'!H36)/2</x:f>
        <x:v>2050000</x:v>
      </x:c>
      <x:c r="G36" t="n">
        <x:v>36</x:v>
      </x:c>
    </x:row>
    <x:row r="37">
      <x:c r="A37" t="str">
        <x:v>facebook_only</x:v>
      </x:c>
      <x:c r="B37" t="str">
        <x:v>female</x:v>
      </x:c>
      <x:c r="C37" t="str">
        <x:v>45-54</x:v>
      </x:c>
      <x:c r="D37" s="14" t="n">
        <x:v>2000000</x:v>
      </x:c>
      <x:c r="E37" s="14" t="n">
        <x:v>2400000</x:v>
      </x:c>
      <x:c r="F37" s="14" t="n">
        <x:f>('Full CSV Data'!G37+'Full CSV Data'!H37)/2</x:f>
        <x:v>2200000</x:v>
      </x:c>
      <x:c r="G37" t="n">
        <x:v>37</x:v>
      </x:c>
    </x:row>
    <x:row r="38">
      <x:c r="A38" t="str">
        <x:v>facebook_only</x:v>
      </x:c>
      <x:c r="B38" t="str">
        <x:v>all</x:v>
      </x:c>
      <x:c r="C38" t="str">
        <x:v>55-64</x:v>
      </x:c>
      <x:c r="D38" s="14" t="n">
        <x:v>3400000</x:v>
      </x:c>
      <x:c r="E38" s="14" t="n">
        <x:v>4000000</x:v>
      </x:c>
      <x:c r="F38" s="14" t="n">
        <x:f>('Full CSV Data'!G38+'Full CSV Data'!H38)/2</x:f>
        <x:v>3700000</x:v>
      </x:c>
      <x:c r="G38" t="n">
        <x:v>38</x:v>
      </x:c>
    </x:row>
    <x:row r="39">
      <x:c r="A39" t="str">
        <x:v>facebook_only</x:v>
      </x:c>
      <x:c r="B39" t="str">
        <x:v>male</x:v>
      </x:c>
      <x:c r="C39" t="str">
        <x:v>55-64</x:v>
      </x:c>
      <x:c r="D39" s="14" t="n">
        <x:v>1600000</x:v>
      </x:c>
      <x:c r="E39" s="14" t="n">
        <x:v>1900000</x:v>
      </x:c>
      <x:c r="F39" s="14" t="n">
        <x:f>('Full CSV Data'!G39+'Full CSV Data'!H39)/2</x:f>
        <x:v>1750000</x:v>
      </x:c>
      <x:c r="G39" t="n">
        <x:v>39</x:v>
      </x:c>
    </x:row>
    <x:row r="40">
      <x:c r="A40" t="str">
        <x:v>facebook_only</x:v>
      </x:c>
      <x:c r="B40" t="str">
        <x:v>female</x:v>
      </x:c>
      <x:c r="C40" t="str">
        <x:v>55-64</x:v>
      </x:c>
      <x:c r="D40" s="14" t="n">
        <x:v>1700000</x:v>
      </x:c>
      <x:c r="E40" s="14" t="n">
        <x:v>2100000</x:v>
      </x:c>
      <x:c r="F40" s="14" t="n">
        <x:f>('Full CSV Data'!G40+'Full CSV Data'!H40)/2</x:f>
        <x:v>1900000</x:v>
      </x:c>
      <x:c r="G40" t="n">
        <x:v>40</x:v>
      </x:c>
    </x:row>
    <x:row r="41">
      <x:c r="A41" t="str">
        <x:v>facebook_only</x:v>
      </x:c>
      <x:c r="B41" t="str">
        <x:v>all</x:v>
      </x:c>
      <x:c r="C41" t="str">
        <x:v>65+</x:v>
      </x:c>
      <x:c r="D41" s="14" t="n">
        <x:v>2300000</x:v>
      </x:c>
      <x:c r="E41" s="14" t="n">
        <x:v>2700000</x:v>
      </x:c>
      <x:c r="F41" s="14" t="n">
        <x:f>('Full CSV Data'!G41+'Full CSV Data'!H41)/2</x:f>
        <x:v>2500000</x:v>
      </x:c>
      <x:c r="G41" t="n">
        <x:v>41</x:v>
      </x:c>
    </x:row>
    <x:row r="42">
      <x:c r="A42" t="str">
        <x:v>facebook_only</x:v>
      </x:c>
      <x:c r="B42" t="str">
        <x:v>male</x:v>
      </x:c>
      <x:c r="C42" t="str">
        <x:v>65+</x:v>
      </x:c>
      <x:c r="D42" s="14" t="n">
        <x:v>1100000</x:v>
      </x:c>
      <x:c r="E42" s="14" t="n">
        <x:v>1300000</x:v>
      </x:c>
      <x:c r="F42" s="14" t="n">
        <x:f>('Full CSV Data'!G42+'Full CSV Data'!H42)/2</x:f>
        <x:v>1200000</x:v>
      </x:c>
      <x:c r="G42" t="n">
        <x:v>42</x:v>
      </x:c>
    </x:row>
    <x:row r="43">
      <x:c r="A43" t="str">
        <x:v>facebook_only</x:v>
      </x:c>
      <x:c r="B43" t="str">
        <x:v>female</x:v>
      </x:c>
      <x:c r="C43" t="str">
        <x:v>65+</x:v>
      </x:c>
      <x:c r="D43" s="14" t="n">
        <x:v>1200000</x:v>
      </x:c>
      <x:c r="E43" s="14" t="n">
        <x:v>1400000</x:v>
      </x:c>
      <x:c r="F43" s="14" t="n">
        <x:f>('Full CSV Data'!G43+'Full CSV Data'!H43)/2</x:f>
        <x:v>1300000</x:v>
      </x:c>
      <x:c r="G43" t="n">
        <x:v>43</x:v>
      </x:c>
    </x:row>
    <x:row r="44">
      <x:c r="A44" t="str">
        <x:v>instagram_only</x:v>
      </x:c>
      <x:c r="B44" t="str">
        <x:v>all</x:v>
      </x:c>
      <x:c r="C44" t="str">
        <x:v>18-65+</x:v>
      </x:c>
      <x:c r="D44" s="14" t="n">
        <x:v>27600000</x:v>
      </x:c>
      <x:c r="E44" s="14" t="n">
        <x:v>32500000</x:v>
      </x:c>
      <x:c r="F44" s="14" t="n">
        <x:f>('Full CSV Data'!G44+'Full CSV Data'!H44)/2</x:f>
        <x:v>30050000</x:v>
      </x:c>
      <x:c r="G44" t="n">
        <x:v>44</x:v>
      </x:c>
    </x:row>
    <x:row r="45">
      <x:c r="A45" t="str">
        <x:v>instagram_only</x:v>
      </x:c>
      <x:c r="B45" t="str">
        <x:v>male</x:v>
      </x:c>
      <x:c r="C45" t="str">
        <x:v>18-65+</x:v>
      </x:c>
      <x:c r="D45" s="14" t="n">
        <x:v>13000000</x:v>
      </x:c>
      <x:c r="E45" s="14" t="n">
        <x:v>15300000</x:v>
      </x:c>
      <x:c r="F45" s="14" t="n">
        <x:f>('Full CSV Data'!G45+'Full CSV Data'!H45)/2</x:f>
        <x:v>14150000</x:v>
      </x:c>
      <x:c r="G45" t="n">
        <x:v>45</x:v>
      </x:c>
    </x:row>
    <x:row r="46">
      <x:c r="A46" t="str">
        <x:v>instagram_only</x:v>
      </x:c>
      <x:c r="B46" t="str">
        <x:v>female</x:v>
      </x:c>
      <x:c r="C46" t="str">
        <x:v>18-65+</x:v>
      </x:c>
      <x:c r="D46" s="14" t="n">
        <x:v>14100000</x:v>
      </x:c>
      <x:c r="E46" s="14" t="n">
        <x:v>16600000</x:v>
      </x:c>
      <x:c r="F46" s="14" t="n">
        <x:f>('Full CSV Data'!G46+'Full CSV Data'!H46)/2</x:f>
        <x:v>15350000</x:v>
      </x:c>
      <x:c r="G46" t="n">
        <x:v>46</x:v>
      </x:c>
    </x:row>
    <x:row r="47">
      <x:c r="A47" t="str">
        <x:v>instagram_only</x:v>
      </x:c>
      <x:c r="B47" t="str">
        <x:v>all</x:v>
      </x:c>
      <x:c r="C47" t="str">
        <x:v>18-24</x:v>
      </x:c>
      <x:c r="D47" s="14" t="n">
        <x:v>4800000</x:v>
      </x:c>
      <x:c r="E47" s="14" t="n">
        <x:v>5600000</x:v>
      </x:c>
      <x:c r="F47" s="14" t="n">
        <x:f>('Full CSV Data'!G47+'Full CSV Data'!H47)/2</x:f>
        <x:v>5200000</x:v>
      </x:c>
      <x:c r="G47" t="n">
        <x:v>47</x:v>
      </x:c>
    </x:row>
    <x:row r="48">
      <x:c r="A48" t="str">
        <x:v>instagram_only</x:v>
      </x:c>
      <x:c r="B48" t="str">
        <x:v>male</x:v>
      </x:c>
      <x:c r="C48" t="str">
        <x:v>18-24</x:v>
      </x:c>
      <x:c r="D48" s="14" t="n">
        <x:v>2300000</x:v>
      </x:c>
      <x:c r="E48" s="14" t="n">
        <x:v>2600000</x:v>
      </x:c>
      <x:c r="F48" s="14" t="n">
        <x:f>('Full CSV Data'!G48+'Full CSV Data'!H48)/2</x:f>
        <x:v>2450000</x:v>
      </x:c>
      <x:c r="G48" t="n">
        <x:v>48</x:v>
      </x:c>
    </x:row>
    <x:row r="49">
      <x:c r="A49" t="str">
        <x:v>instagram_only</x:v>
      </x:c>
      <x:c r="B49" t="str">
        <x:v>female</x:v>
      </x:c>
      <x:c r="C49" t="str">
        <x:v>18-24</x:v>
      </x:c>
      <x:c r="D49" s="14" t="n">
        <x:v>2400000</x:v>
      </x:c>
      <x:c r="E49" s="14" t="n">
        <x:v>2800000</x:v>
      </x:c>
      <x:c r="F49" s="14" t="n">
        <x:f>('Full CSV Data'!G49+'Full CSV Data'!H49)/2</x:f>
        <x:v>2600000</x:v>
      </x:c>
      <x:c r="G49" t="n">
        <x:v>49</x:v>
      </x:c>
    </x:row>
    <x:row r="50">
      <x:c r="A50" t="str">
        <x:v>instagram_only</x:v>
      </x:c>
      <x:c r="B50" t="str">
        <x:v>all</x:v>
      </x:c>
      <x:c r="C50" t="str">
        <x:v>25-34</x:v>
      </x:c>
      <x:c r="D50" s="14" t="n">
        <x:v>8500000</x:v>
      </x:c>
      <x:c r="E50" s="14" t="n">
        <x:v>10100000</x:v>
      </x:c>
      <x:c r="F50" s="14" t="n">
        <x:f>('Full CSV Data'!G50+'Full CSV Data'!H50)/2</x:f>
        <x:v>9300000</x:v>
      </x:c>
      <x:c r="G50" t="n">
        <x:v>50</x:v>
      </x:c>
    </x:row>
    <x:row r="51">
      <x:c r="A51" t="str">
        <x:v>instagram_only</x:v>
      </x:c>
      <x:c r="B51" t="str">
        <x:v>male</x:v>
      </x:c>
      <x:c r="C51" t="str">
        <x:v>25-34</x:v>
      </x:c>
      <x:c r="D51" s="14" t="n">
        <x:v>4300000</x:v>
      </x:c>
      <x:c r="E51" s="14" t="n">
        <x:v>5100000</x:v>
      </x:c>
      <x:c r="F51" s="14" t="n">
        <x:f>('Full CSV Data'!G51+'Full CSV Data'!H51)/2</x:f>
        <x:v>4700000</x:v>
      </x:c>
      <x:c r="G51" t="n">
        <x:v>51</x:v>
      </x:c>
    </x:row>
    <x:row r="52">
      <x:c r="A52" t="str">
        <x:v>instagram_only</x:v>
      </x:c>
      <x:c r="B52" t="str">
        <x:v>female</x:v>
      </x:c>
      <x:c r="C52" t="str">
        <x:v>25-34</x:v>
      </x:c>
      <x:c r="D52" s="14" t="n">
        <x:v>4100000</x:v>
      </x:c>
      <x:c r="E52" s="14" t="n">
        <x:v>4800000</x:v>
      </x:c>
      <x:c r="F52" s="14" t="n">
        <x:f>('Full CSV Data'!G52+'Full CSV Data'!H52)/2</x:f>
        <x:v>4450000</x:v>
      </x:c>
      <x:c r="G52" t="n">
        <x:v>52</x:v>
      </x:c>
    </x:row>
    <x:row r="53">
      <x:c r="A53" t="str">
        <x:v>instagram_only</x:v>
      </x:c>
      <x:c r="B53" t="str">
        <x:v>all</x:v>
      </x:c>
      <x:c r="C53" t="str">
        <x:v>35-44</x:v>
      </x:c>
      <x:c r="D53" s="14" t="n">
        <x:v>5800000</x:v>
      </x:c>
      <x:c r="E53" s="14" t="n">
        <x:v>6900000</x:v>
      </x:c>
      <x:c r="F53" s="14" t="n">
        <x:f>('Full CSV Data'!G53+'Full CSV Data'!H53)/2</x:f>
        <x:v>6350000</x:v>
      </x:c>
      <x:c r="G53" t="n">
        <x:v>53</x:v>
      </x:c>
    </x:row>
    <x:row r="54">
      <x:c r="A54" t="str">
        <x:v>instagram_only</x:v>
      </x:c>
      <x:c r="B54" t="str">
        <x:v>male</x:v>
      </x:c>
      <x:c r="C54" t="str">
        <x:v>35-44</x:v>
      </x:c>
      <x:c r="D54" s="14" t="n">
        <x:v>2700000</x:v>
      </x:c>
      <x:c r="E54" s="14" t="n">
        <x:v>3200000</x:v>
      </x:c>
      <x:c r="F54" s="14" t="n">
        <x:f>('Full CSV Data'!G54+'Full CSV Data'!H54)/2</x:f>
        <x:v>2950000</x:v>
      </x:c>
      <x:c r="G54" t="n">
        <x:v>54</x:v>
      </x:c>
    </x:row>
    <x:row r="55">
      <x:c r="A55" t="str">
        <x:v>instagram_only</x:v>
      </x:c>
      <x:c r="B55" t="str">
        <x:v>female</x:v>
      </x:c>
      <x:c r="C55" t="str">
        <x:v>35-44</x:v>
      </x:c>
      <x:c r="D55" s="14" t="n">
        <x:v>3000000</x:v>
      </x:c>
      <x:c r="E55" s="14" t="n">
        <x:v>3600000</x:v>
      </x:c>
      <x:c r="F55" s="14" t="n">
        <x:f>('Full CSV Data'!G55+'Full CSV Data'!H55)/2</x:f>
        <x:v>3300000</x:v>
      </x:c>
      <x:c r="G55" t="n">
        <x:v>55</x:v>
      </x:c>
    </x:row>
    <x:row r="56">
      <x:c r="A56" t="str">
        <x:v>instagram_only</x:v>
      </x:c>
      <x:c r="B56" t="str">
        <x:v>all</x:v>
      </x:c>
      <x:c r="C56" t="str">
        <x:v>45-54</x:v>
      </x:c>
      <x:c r="D56" s="14" t="n">
        <x:v>3900000</x:v>
      </x:c>
      <x:c r="E56" s="14" t="n">
        <x:v>4600000</x:v>
      </x:c>
      <x:c r="F56" s="14" t="n">
        <x:f>('Full CSV Data'!G56+'Full CSV Data'!H56)/2</x:f>
        <x:v>4250000</x:v>
      </x:c>
      <x:c r="G56" t="n">
        <x:v>56</x:v>
      </x:c>
    </x:row>
    <x:row r="57">
      <x:c r="A57" t="str">
        <x:v>instagram_only</x:v>
      </x:c>
      <x:c r="B57" t="str">
        <x:v>male</x:v>
      </x:c>
      <x:c r="C57" t="str">
        <x:v>45-54</x:v>
      </x:c>
      <x:c r="D57" s="14" t="n">
        <x:v>1700000</x:v>
      </x:c>
      <x:c r="E57" s="14" t="n">
        <x:v>1900000</x:v>
      </x:c>
      <x:c r="F57" s="14" t="n">
        <x:f>('Full CSV Data'!G57+'Full CSV Data'!H57)/2</x:f>
        <x:v>1800000</x:v>
      </x:c>
      <x:c r="G57" t="n">
        <x:v>57</x:v>
      </x:c>
    </x:row>
    <x:row r="58">
      <x:c r="A58" t="str">
        <x:v>instagram_only</x:v>
      </x:c>
      <x:c r="B58" t="str">
        <x:v>female</x:v>
      </x:c>
      <x:c r="C58" t="str">
        <x:v>45-54</x:v>
      </x:c>
      <x:c r="D58" s="14" t="n">
        <x:v>2200000</x:v>
      </x:c>
      <x:c r="E58" s="14" t="n">
        <x:v>2500000</x:v>
      </x:c>
      <x:c r="F58" s="14" t="n">
        <x:f>('Full CSV Data'!G58+'Full CSV Data'!H58)/2</x:f>
        <x:v>2350000</x:v>
      </x:c>
      <x:c r="G58" t="n">
        <x:v>58</x:v>
      </x:c>
    </x:row>
    <x:row r="59">
      <x:c r="A59" t="str">
        <x:v>instagram_only</x:v>
      </x:c>
      <x:c r="B59" t="str">
        <x:v>all</x:v>
      </x:c>
      <x:c r="C59" t="str">
        <x:v>55-64</x:v>
      </x:c>
      <x:c r="D59" s="14" t="n">
        <x:v>3000000</x:v>
      </x:c>
      <x:c r="E59" s="14" t="n">
        <x:v>3500000</x:v>
      </x:c>
      <x:c r="F59" s="14" t="n">
        <x:f>('Full CSV Data'!G59+'Full CSV Data'!H59)/2</x:f>
        <x:v>3250000</x:v>
      </x:c>
      <x:c r="G59" t="n">
        <x:v>59</x:v>
      </x:c>
    </x:row>
    <x:row r="60">
      <x:c r="A60" t="str">
        <x:v>instagram_only</x:v>
      </x:c>
      <x:c r="B60" t="str">
        <x:v>male</x:v>
      </x:c>
      <x:c r="C60" t="str">
        <x:v>55-64</x:v>
      </x:c>
      <x:c r="D60" s="14" t="n">
        <x:v>1300000</x:v>
      </x:c>
      <x:c r="E60" s="14" t="n">
        <x:v>1500000</x:v>
      </x:c>
      <x:c r="F60" s="14" t="n">
        <x:f>('Full CSV Data'!G60+'Full CSV Data'!H60)/2</x:f>
        <x:v>1400000</x:v>
      </x:c>
      <x:c r="G60" t="n">
        <x:v>60</x:v>
      </x:c>
    </x:row>
    <x:row r="61">
      <x:c r="A61" t="str">
        <x:v>instagram_only</x:v>
      </x:c>
      <x:c r="B61" t="str">
        <x:v>female</x:v>
      </x:c>
      <x:c r="C61" t="str">
        <x:v>55-64</x:v>
      </x:c>
      <x:c r="D61" s="14" t="n">
        <x:v>1600000</x:v>
      </x:c>
      <x:c r="E61" s="14" t="n">
        <x:v>1900000</x:v>
      </x:c>
      <x:c r="F61" s="14" t="n">
        <x:f>('Full CSV Data'!G61+'Full CSV Data'!H61)/2</x:f>
        <x:v>1750000</x:v>
      </x:c>
      <x:c r="G61" t="n">
        <x:v>61</x:v>
      </x:c>
    </x:row>
    <x:row r="62">
      <x:c r="A62" t="str">
        <x:v>instagram_only</x:v>
      </x:c>
      <x:c r="B62" t="str">
        <x:v>all</x:v>
      </x:c>
      <x:c r="C62" t="str">
        <x:v>65+</x:v>
      </x:c>
      <x:c r="D62" s="14" t="n">
        <x:v>1500000</x:v>
      </x:c>
      <x:c r="E62" s="14" t="n">
        <x:v>1700000</x:v>
      </x:c>
      <x:c r="F62" s="14" t="n">
        <x:f>('Full CSV Data'!G62+'Full CSV Data'!H62)/2</x:f>
        <x:v>1600000</x:v>
      </x:c>
      <x:c r="G62" t="n">
        <x:v>62</x:v>
      </x:c>
    </x:row>
    <x:row r="63">
      <x:c r="A63" t="str">
        <x:v>instagram_only</x:v>
      </x:c>
      <x:c r="B63" t="str">
        <x:v>male</x:v>
      </x:c>
      <x:c r="C63" t="str">
        <x:v>65+</x:v>
      </x:c>
      <x:c r="D63" s="14" t="n">
        <x:v>655100</x:v>
      </x:c>
      <x:c r="E63" s="14" t="n">
        <x:v>770700</x:v>
      </x:c>
      <x:c r="F63" s="14" t="n">
        <x:f>('Full CSV Data'!G63+'Full CSV Data'!H63)/2</x:f>
        <x:v>712900</x:v>
      </x:c>
      <x:c r="G63" t="n">
        <x:v>63</x:v>
      </x:c>
    </x:row>
    <x:row r="64">
      <x:c r="A64" t="str">
        <x:v>instagram_only</x:v>
      </x:c>
      <x:c r="B64" t="str">
        <x:v>female</x:v>
      </x:c>
      <x:c r="C64" t="str">
        <x:v>65+</x:v>
      </x:c>
      <x:c r="D64" s="14" t="n">
        <x:v>793300</x:v>
      </x:c>
      <x:c r="E64" s="14" t="n">
        <x:v>933300</x:v>
      </x:c>
      <x:c r="F64" s="14" t="n">
        <x:f>('Full CSV Data'!G64+'Full CSV Data'!H64)/2</x:f>
        <x:v>863300</x:v>
      </x:c>
      <x:c r="G64" t="n">
        <x:v>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</x:cols>
  <x:sheetData>
    <x:row r="1">
      <x:c r="A1" s="4" t="str">
        <x:v>Meta estimated audience benchmarks — Germany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Platform</x:v>
      </x:c>
      <x:c r="B3" s="10" t="str">
        <x:v>Total midpoint</x:v>
      </x:c>
      <x:c r="C3" s="10" t="str">
        <x:v>Men midpoint</x:v>
      </x:c>
      <x:c r="D3" s="10" t="str">
        <x:v>Women midpoint</x:v>
      </x:c>
      <x:c r="E3" s="10" t="str">
        <x:v>Men share</x:v>
      </x:c>
      <x:c r="F3" s="10" t="str">
        <x:v>Women share</x:v>
      </x:c>
    </x:row>
    <x:row r="4">
      <x:c r="A4" t="str">
        <x:v>Facebook + Instagram</x:v>
      </x:c>
      <x:c r="B4" s="14" t="n">
        <x:f>'Raw Estimates'!F2</x:f>
        <x:v>40050000</x:v>
      </x:c>
      <x:c r="C4" s="14" t="n">
        <x:f>'Raw Estimates'!F3</x:f>
        <x:v>19250000</x:v>
      </x:c>
      <x:c r="D4" s="14" t="n">
        <x:f>'Raw Estimates'!F4</x:f>
        <x:v>20200000</x:v>
      </x:c>
      <x:c r="E4" s="16" t="n">
        <x:f>C4/(C4+D4)</x:f>
        <x:v>0.4879594423320659</x:v>
      </x:c>
      <x:c r="F4" s="16" t="n">
        <x:f>D4/(C4+D4)</x:f>
        <x:v>0.5120405576679341</x:v>
      </x:c>
    </x:row>
    <x:row r="5">
      <x:c r="A5" t="str">
        <x:v>Facebook</x:v>
      </x:c>
      <x:c r="B5" s="14" t="n">
        <x:f>'Raw Estimates'!F23</x:f>
        <x:v>22000000</x:v>
      </x:c>
      <x:c r="C5" s="14" t="n">
        <x:f>'Raw Estimates'!F24</x:f>
        <x:v>10850000</x:v>
      </x:c>
      <x:c r="D5" s="14" t="n">
        <x:f>'Raw Estimates'!F25</x:f>
        <x:v>10900000</x:v>
      </x:c>
      <x:c r="E5" s="16" t="n">
        <x:f>C5/(C5+D5)</x:f>
        <x:v>0.49885057471264366</x:v>
      </x:c>
      <x:c r="F5" s="16" t="n">
        <x:f>D5/(C5+D5)</x:f>
        <x:v>0.5011494252873563</x:v>
      </x:c>
    </x:row>
    <x:row r="6">
      <x:c r="A6" t="str">
        <x:v>Instagram</x:v>
      </x:c>
      <x:c r="B6" s="14" t="n">
        <x:f>'Raw Estimates'!F44</x:f>
        <x:v>30050000</x:v>
      </x:c>
      <x:c r="C6" s="14" t="n">
        <x:f>'Raw Estimates'!F45</x:f>
        <x:v>14150000</x:v>
      </x:c>
      <x:c r="D6" s="14" t="n">
        <x:f>'Raw Estimates'!F46</x:f>
        <x:v>15350000</x:v>
      </x:c>
      <x:c r="E6" s="16" t="n">
        <x:f>C6/(C6+D6)</x:f>
        <x:v>0.47966101694915253</x:v>
      </x:c>
      <x:c r="F6" s="16" t="n">
        <x:f>D6/(C6+D6)</x:f>
        <x:v>0.5203389830508475</x:v>
      </x:c>
    </x:row>
    <x:row r="9">
      <x:c r="A9" s="10" t="str">
        <x:v>Platform</x:v>
      </x:c>
      <x:c r="B9" s="10" t="str">
        <x:v>18-24</x:v>
      </x:c>
      <x:c r="C9" s="10" t="str">
        <x:v>25-34</x:v>
      </x:c>
      <x:c r="D9" s="10" t="str">
        <x:v>35-44</x:v>
      </x:c>
      <x:c r="E9" s="10" t="str">
        <x:v>45-54</x:v>
      </x:c>
      <x:c r="F9" s="10" t="str">
        <x:v>55-64</x:v>
      </x:c>
      <x:c r="G9" s="10" t="str">
        <x:v>65+</x:v>
      </x:c>
      <x:c r="H9" s="10" t="str">
        <x:v>Sum of age midpoints</x:v>
      </x:c>
    </x:row>
    <x:row r="10">
      <x:c r="A10" t="str">
        <x:v>Facebook + Instagram</x:v>
      </x:c>
      <x:c r="B10" s="14" t="n">
        <x:f>'Raw Estimates'!F5</x:f>
        <x:v>5750000</x:v>
      </x:c>
      <x:c r="C10" s="14" t="n">
        <x:f>'Raw Estimates'!F8</x:f>
        <x:v>11100000</x:v>
      </x:c>
      <x:c r="D10" s="14" t="n">
        <x:f>'Raw Estimates'!F11</x:f>
        <x:v>8500000</x:v>
      </x:c>
      <x:c r="E10" s="14" t="n">
        <x:f>'Raw Estimates'!F14</x:f>
        <x:v>6100000</x:v>
      </x:c>
      <x:c r="F10" s="14" t="n">
        <x:f>'Raw Estimates'!F17</x:f>
        <x:v>5100000</x:v>
      </x:c>
      <x:c r="G10" s="14" t="n">
        <x:f>'Raw Estimates'!F20</x:f>
        <x:v>3150000</x:v>
      </x:c>
      <x:c r="H10" s="14" t="n">
        <x:f>SUM(B10:G10)</x:f>
        <x:v>39700000</x:v>
      </x:c>
    </x:row>
    <x:row r="11">
      <x:c r="A11" t="str">
        <x:v>Facebook</x:v>
      </x:c>
      <x:c r="B11" s="14" t="n">
        <x:f>'Raw Estimates'!F26</x:f>
        <x:v>1200000</x:v>
      </x:c>
      <x:c r="C11" s="14" t="n">
        <x:f>'Raw Estimates'!F29</x:f>
        <x:v>4650000</x:v>
      </x:c>
      <x:c r="D11" s="14" t="n">
        <x:f>'Raw Estimates'!F32</x:f>
        <x:v>5450000</x:v>
      </x:c>
      <x:c r="E11" s="14" t="n">
        <x:f>'Raw Estimates'!F35</x:f>
        <x:v>4250000</x:v>
      </x:c>
      <x:c r="F11" s="14" t="n">
        <x:f>'Raw Estimates'!F38</x:f>
        <x:v>3700000</x:v>
      </x:c>
      <x:c r="G11" s="14" t="n">
        <x:f>'Raw Estimates'!F41</x:f>
        <x:v>2500000</x:v>
      </x:c>
      <x:c r="H11" s="14" t="n">
        <x:f>SUM(B11:G11)</x:f>
        <x:v>21750000</x:v>
      </x:c>
    </x:row>
    <x:row r="12">
      <x:c r="A12" t="str">
        <x:v>Instagram</x:v>
      </x:c>
      <x:c r="B12" s="14" t="n">
        <x:f>'Raw Estimates'!F47</x:f>
        <x:v>5200000</x:v>
      </x:c>
      <x:c r="C12" s="14" t="n">
        <x:f>'Raw Estimates'!F50</x:f>
        <x:v>9300000</x:v>
      </x:c>
      <x:c r="D12" s="14" t="n">
        <x:f>'Raw Estimates'!F53</x:f>
        <x:v>6350000</x:v>
      </x:c>
      <x:c r="E12" s="14" t="n">
        <x:f>'Raw Estimates'!F56</x:f>
        <x:v>4250000</x:v>
      </x:c>
      <x:c r="F12" s="14" t="n">
        <x:f>'Raw Estimates'!F59</x:f>
        <x:v>3250000</x:v>
      </x:c>
      <x:c r="G12" s="14" t="n">
        <x:f>'Raw Estimates'!F62</x:f>
        <x:v>1600000</x:v>
      </x:c>
      <x:c r="H12" s="14" t="n">
        <x:f>SUM(B12:G12)</x:f>
        <x:v>29950000</x:v>
      </x:c>
    </x:row>
    <x:row r="15">
      <x:c r="A15" s="10" t="str">
        <x:v>Platform / Age</x:v>
      </x:c>
      <x:c r="B15" s="10" t="str">
        <x:v>Total midpoint</x:v>
      </x:c>
      <x:c r="C15" s="10" t="str">
        <x:v>Men midpoint</x:v>
      </x:c>
      <x:c r="D15" s="10" t="str">
        <x:v>Women midpoint</x:v>
      </x:c>
      <x:c r="F15" s="10" t="str">
        <x:v>Calculation</x:v>
      </x:c>
      <x:c r="G15" s="10" t="str">
        <x:v>Excel formula pattern</x:v>
      </x:c>
      <x:c r="H15" s="10" t="str">
        <x:v>Meaning</x:v>
      </x:c>
    </x:row>
    <x:row r="16">
      <x:c r="A16" t="str">
        <x:v>Facebook + Instagram — 18-24</x:v>
      </x:c>
      <x:c r="B16" s="14" t="n">
        <x:f>'Raw Estimates'!F5</x:f>
        <x:v>5750000</x:v>
      </x:c>
      <x:c r="C16" s="14" t="n">
        <x:f>'Raw Estimates'!F6</x:f>
        <x:v>2700000</x:v>
      </x:c>
      <x:c r="D16" s="14" t="n">
        <x:f>'Raw Estimates'!F7</x:f>
        <x:v>2900000</x:v>
      </x:c>
      <x:c r="F16" s="18" t="str">
        <x:v>Midpoint</x:v>
      </x:c>
      <x:c r="G16" s="18" t="str">
        <x:v>=(Lower bound + Upper bound)/2</x:v>
      </x:c>
      <x:c r="H16" s="18" t="str">
        <x:v>Midpoint of Meta's estimated audience range</x:v>
      </x:c>
    </x:row>
    <x:row r="17">
      <x:c r="A17" t="str">
        <x:v>Facebook + Instagram — 25-34</x:v>
      </x:c>
      <x:c r="B17" s="14" t="n">
        <x:f>'Raw Estimates'!F8</x:f>
        <x:v>11100000</x:v>
      </x:c>
      <x:c r="C17" s="14" t="n">
        <x:f>'Raw Estimates'!F9</x:f>
        <x:v>5650000</x:v>
      </x:c>
      <x:c r="D17" s="14" t="n">
        <x:f>'Raw Estimates'!F10</x:f>
        <x:v>5350000</x:v>
      </x:c>
      <x:c r="F17" s="18" t="str">
        <x:v>Men share</x:v>
      </x:c>
      <x:c r="G17" s="18" t="str">
        <x:v>=Men midpoint/(Men midpoint+Women midpoint)</x:v>
      </x:c>
      <x:c r="H17" s="18" t="str">
        <x:v>Share among male/female estimated audience</x:v>
      </x:c>
    </x:row>
    <x:row r="18">
      <x:c r="A18" t="str">
        <x:v>Facebook + Instagram — 35-44</x:v>
      </x:c>
      <x:c r="B18" s="14" t="n">
        <x:f>'Raw Estimates'!F11</x:f>
        <x:v>8500000</x:v>
      </x:c>
      <x:c r="C18" s="14" t="n">
        <x:f>'Raw Estimates'!F12</x:f>
        <x:v>4100000</x:v>
      </x:c>
      <x:c r="D18" s="14" t="n">
        <x:f>'Raw Estimates'!F13</x:f>
        <x:v>4250000</x:v>
      </x:c>
      <x:c r="F18" s="18" t="str">
        <x:v>Women share</x:v>
      </x:c>
      <x:c r="G18" s="18" t="str">
        <x:v>=Women midpoint/(Men midpoint+Women midpoint)</x:v>
      </x:c>
      <x:c r="H18" s="18" t="str">
        <x:v>Share among male/female estimated audience</x:v>
      </x:c>
    </x:row>
    <x:row r="19">
      <x:c r="A19" t="str">
        <x:v>Facebook + Instagram — 45-54</x:v>
      </x:c>
      <x:c r="B19" s="14" t="n">
        <x:f>'Raw Estimates'!F14</x:f>
        <x:v>6100000</x:v>
      </x:c>
      <x:c r="C19" s="14" t="n">
        <x:f>'Raw Estimates'!F15</x:f>
        <x:v>2750000</x:v>
      </x:c>
      <x:c r="D19" s="14" t="n">
        <x:f>'Raw Estimates'!F16</x:f>
        <x:v>3250000</x:v>
      </x:c>
    </x:row>
    <x:row r="20">
      <x:c r="A20" t="str">
        <x:v>Facebook + Instagram — 55-64</x:v>
      </x:c>
      <x:c r="B20" s="14" t="n">
        <x:f>'Raw Estimates'!F17</x:f>
        <x:v>5100000</x:v>
      </x:c>
      <x:c r="C20" s="14" t="n">
        <x:f>'Raw Estimates'!F18</x:f>
        <x:v>2400000</x:v>
      </x:c>
      <x:c r="D20" s="14" t="n">
        <x:f>'Raw Estimates'!F19</x:f>
        <x:v>2700000</x:v>
      </x:c>
    </x:row>
    <x:row r="21">
      <x:c r="A21" t="str">
        <x:v>Facebook + Instagram — 65+</x:v>
      </x:c>
      <x:c r="B21" s="14" t="n">
        <x:f>'Raw Estimates'!F20</x:f>
        <x:v>3150000</x:v>
      </x:c>
      <x:c r="C21" s="14" t="n">
        <x:f>'Raw Estimates'!F21</x:f>
        <x:v>1500000</x:v>
      </x:c>
      <x:c r="D21" s="14" t="n">
        <x:f>'Raw Estimates'!F22</x:f>
        <x:v>1650000</x:v>
      </x:c>
    </x:row>
    <x:row r="22">
      <x:c r="A22" t="str">
        <x:v>Facebook — 18-24</x:v>
      </x:c>
      <x:c r="B22" s="14" t="n">
        <x:f>'Raw Estimates'!F26</x:f>
        <x:v>1200000</x:v>
      </x:c>
      <x:c r="C22" s="14" t="n">
        <x:f>'Raw Estimates'!F27</x:f>
        <x:v>567950</x:v>
      </x:c>
      <x:c r="D22" s="14" t="n">
        <x:f>'Raw Estimates'!F28</x:f>
        <x:v>576400</x:v>
      </x:c>
    </x:row>
    <x:row r="23">
      <x:c r="A23" t="str">
        <x:v>Facebook — 25-34</x:v>
      </x:c>
      <x:c r="B23" s="14" t="n">
        <x:f>'Raw Estimates'!F29</x:f>
        <x:v>4650000</x:v>
      </x:c>
      <x:c r="C23" s="14" t="n">
        <x:f>'Raw Estimates'!F30</x:f>
        <x:v>2400000</x:v>
      </x:c>
      <x:c r="D23" s="14" t="n">
        <x:f>'Raw Estimates'!F31</x:f>
        <x:v>2200000</x:v>
      </x:c>
    </x:row>
    <x:row r="24">
      <x:c r="A24" t="str">
        <x:v>Facebook — 35-44</x:v>
      </x:c>
      <x:c r="B24" s="14" t="n">
        <x:f>'Raw Estimates'!F32</x:f>
        <x:v>5450000</x:v>
      </x:c>
      <x:c r="C24" s="14" t="n">
        <x:f>'Raw Estimates'!F33</x:f>
        <x:v>2700000</x:v>
      </x:c>
      <x:c r="D24" s="14" t="n">
        <x:f>'Raw Estimates'!F34</x:f>
        <x:v>2700000</x:v>
      </x:c>
    </x:row>
    <x:row r="25">
      <x:c r="A25" t="str">
        <x:v>Facebook — 45-54</x:v>
      </x:c>
      <x:c r="B25" s="14" t="n">
        <x:f>'Raw Estimates'!F35</x:f>
        <x:v>4250000</x:v>
      </x:c>
      <x:c r="C25" s="14" t="n">
        <x:f>'Raw Estimates'!F36</x:f>
        <x:v>2050000</x:v>
      </x:c>
      <x:c r="D25" s="14" t="n">
        <x:f>'Raw Estimates'!F37</x:f>
        <x:v>2200000</x:v>
      </x:c>
    </x:row>
    <x:row r="26">
      <x:c r="A26" t="str">
        <x:v>Facebook — 55-64</x:v>
      </x:c>
      <x:c r="B26" s="14" t="n">
        <x:f>'Raw Estimates'!F38</x:f>
        <x:v>3700000</x:v>
      </x:c>
      <x:c r="C26" s="14" t="n">
        <x:f>'Raw Estimates'!F39</x:f>
        <x:v>1750000</x:v>
      </x:c>
      <x:c r="D26" s="14" t="n">
        <x:f>'Raw Estimates'!F40</x:f>
        <x:v>1900000</x:v>
      </x:c>
    </x:row>
    <x:row r="27">
      <x:c r="A27" t="str">
        <x:v>Facebook — 65+</x:v>
      </x:c>
      <x:c r="B27" s="14" t="n">
        <x:f>'Raw Estimates'!F41</x:f>
        <x:v>2500000</x:v>
      </x:c>
      <x:c r="C27" s="14" t="n">
        <x:f>'Raw Estimates'!F42</x:f>
        <x:v>1200000</x:v>
      </x:c>
      <x:c r="D27" s="14" t="n">
        <x:f>'Raw Estimates'!F43</x:f>
        <x:v>1300000</x:v>
      </x:c>
    </x:row>
    <x:row r="28">
      <x:c r="A28" t="str">
        <x:v>Instagram — 18-24</x:v>
      </x:c>
      <x:c r="B28" s="14" t="n">
        <x:f>'Raw Estimates'!F47</x:f>
        <x:v>5200000</x:v>
      </x:c>
      <x:c r="C28" s="14" t="n">
        <x:f>'Raw Estimates'!F48</x:f>
        <x:v>2450000</x:v>
      </x:c>
      <x:c r="D28" s="14" t="n">
        <x:f>'Raw Estimates'!F49</x:f>
        <x:v>2600000</x:v>
      </x:c>
    </x:row>
    <x:row r="29">
      <x:c r="A29" t="str">
        <x:v>Instagram — 25-34</x:v>
      </x:c>
      <x:c r="B29" s="14" t="n">
        <x:f>'Raw Estimates'!F50</x:f>
        <x:v>9300000</x:v>
      </x:c>
      <x:c r="C29" s="14" t="n">
        <x:f>'Raw Estimates'!F51</x:f>
        <x:v>4700000</x:v>
      </x:c>
      <x:c r="D29" s="14" t="n">
        <x:f>'Raw Estimates'!F52</x:f>
        <x:v>4450000</x:v>
      </x:c>
    </x:row>
    <x:row r="30">
      <x:c r="A30" t="str">
        <x:v>Instagram — 35-44</x:v>
      </x:c>
      <x:c r="B30" s="14" t="n">
        <x:f>'Raw Estimates'!F53</x:f>
        <x:v>6350000</x:v>
      </x:c>
      <x:c r="C30" s="14" t="n">
        <x:f>'Raw Estimates'!F54</x:f>
        <x:v>2950000</x:v>
      </x:c>
      <x:c r="D30" s="14" t="n">
        <x:f>'Raw Estimates'!F55</x:f>
        <x:v>3300000</x:v>
      </x:c>
    </x:row>
    <x:row r="31">
      <x:c r="A31" t="str">
        <x:v>Instagram — 45-54</x:v>
      </x:c>
      <x:c r="B31" s="14" t="n">
        <x:f>'Raw Estimates'!F56</x:f>
        <x:v>4250000</x:v>
      </x:c>
      <x:c r="C31" s="14" t="n">
        <x:f>'Raw Estimates'!F57</x:f>
        <x:v>1800000</x:v>
      </x:c>
      <x:c r="D31" s="14" t="n">
        <x:f>'Raw Estimates'!F58</x:f>
        <x:v>2350000</x:v>
      </x:c>
    </x:row>
    <x:row r="32">
      <x:c r="A32" t="str">
        <x:v>Instagram — 55-64</x:v>
      </x:c>
      <x:c r="B32" s="14" t="n">
        <x:f>'Raw Estimates'!F59</x:f>
        <x:v>3250000</x:v>
      </x:c>
      <x:c r="C32" s="14" t="n">
        <x:f>'Raw Estimates'!F60</x:f>
        <x:v>1400000</x:v>
      </x:c>
      <x:c r="D32" s="14" t="n">
        <x:f>'Raw Estimates'!F61</x:f>
        <x:v>1750000</x:v>
      </x:c>
    </x:row>
    <x:row r="33">
      <x:c r="A33" t="str">
        <x:v>Instagram — 65+</x:v>
      </x:c>
      <x:c r="B33" s="14" t="n">
        <x:f>'Raw Estimates'!F62</x:f>
        <x:v>1600000</x:v>
      </x:c>
      <x:c r="C33" s="14" t="n">
        <x:f>'Raw Estimates'!F63</x:f>
        <x:v>712900</x:v>
      </x:c>
      <x:c r="D33" s="14" t="n">
        <x:f>'Raw Estimates'!F64</x:f>
        <x:v>863300</x:v>
      </x:c>
    </x:row>
  </x:sheetData>
  <x:mergeCells>
    <x:mergeCell ref="A1:H1"/>
  </x:mergeCells>
  <x:pageMargins left="0.7" right="0.7" top="0.75" bottom="0.75" header="0.3" footer="0.3"/>
</x:worksheet>
</file>